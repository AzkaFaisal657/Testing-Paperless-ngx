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zia\Downloads\"/>
    </mc:Choice>
  </mc:AlternateContent>
  <xr:revisionPtr revIDLastSave="0" documentId="13_ncr:1_{7189205C-410B-481B-BB2E-811FA8A80E2A}" xr6:coauthVersionLast="47" xr6:coauthVersionMax="47" xr10:uidLastSave="{00000000-0000-0000-0000-000000000000}"/>
  <bookViews>
    <workbookView xWindow="-113" yWindow="-113" windowWidth="24267" windowHeight="13023" tabRatio="500" xr2:uid="{00000000-000D-0000-FFFF-FFFF00000000}"/>
  </bookViews>
  <sheets>
    <sheet name="Allocation" sheetId="1" r:id="rId1"/>
    <sheet name="Requirements_RTM" sheetId="2" r:id="rId2"/>
    <sheet name="TestCases" sheetId="3" r:id="rId3"/>
    <sheet name="DefectLog" sheetId="4" r:id="rId4"/>
    <sheet name="Defect_Summary" sheetId="5" r:id="rId5"/>
    <sheet name="Summary" sheetId="7" r:id="rId6"/>
    <sheet name="Top5_Defects" sheetId="6" r:id="rId7"/>
  </sheets>
  <definedNames>
    <definedName name="_xlnm._FilterDatabase" localSheetId="1" hidden="1">Requirements_RTM!$A$1:$I$36</definedName>
    <definedName name="_xlnm._FilterDatabase" localSheetId="2" hidden="1">TestCases!$A$1:$O$68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1" i="4" l="1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B40" i="7"/>
  <c r="B39" i="7"/>
  <c r="B38" i="7"/>
  <c r="B37" i="7"/>
  <c r="B36" i="7"/>
  <c r="H31" i="7"/>
  <c r="H30" i="7"/>
  <c r="B30" i="7"/>
  <c r="H29" i="7"/>
  <c r="E29" i="7"/>
  <c r="B29" i="7"/>
  <c r="H28" i="7"/>
  <c r="E28" i="7"/>
  <c r="B28" i="7"/>
  <c r="H27" i="7"/>
  <c r="E27" i="7"/>
  <c r="B27" i="7"/>
  <c r="B24" i="7"/>
  <c r="G20" i="7"/>
  <c r="F20" i="7"/>
  <c r="E20" i="7"/>
  <c r="D20" i="7"/>
  <c r="C20" i="7"/>
  <c r="B20" i="7"/>
  <c r="G19" i="7"/>
  <c r="F19" i="7"/>
  <c r="E19" i="7"/>
  <c r="D19" i="7"/>
  <c r="C19" i="7"/>
  <c r="B19" i="7"/>
  <c r="G18" i="7"/>
  <c r="F18" i="7"/>
  <c r="E18" i="7"/>
  <c r="D18" i="7"/>
  <c r="C18" i="7"/>
  <c r="B18" i="7"/>
  <c r="G17" i="7"/>
  <c r="F17" i="7"/>
  <c r="E17" i="7"/>
  <c r="D17" i="7"/>
  <c r="C17" i="7"/>
  <c r="B17" i="7"/>
  <c r="G16" i="7"/>
  <c r="F16" i="7"/>
  <c r="E16" i="7"/>
  <c r="D16" i="7"/>
  <c r="C16" i="7"/>
  <c r="B16" i="7"/>
  <c r="G15" i="7"/>
  <c r="F15" i="7"/>
  <c r="F21" i="7" s="1"/>
  <c r="E15" i="7"/>
  <c r="E21" i="7" s="1"/>
  <c r="D15" i="7"/>
  <c r="D21" i="7" s="1"/>
  <c r="C15" i="7"/>
  <c r="C21" i="7" s="1"/>
  <c r="B15" i="7"/>
  <c r="B21" i="7" s="1"/>
  <c r="B9" i="7"/>
  <c r="B8" i="7"/>
  <c r="B7" i="7"/>
  <c r="B6" i="7"/>
  <c r="B5" i="7"/>
  <c r="B10" i="7" s="1"/>
  <c r="B4" i="7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10" i="4"/>
  <c r="P9" i="4"/>
  <c r="P8" i="4"/>
  <c r="P6" i="4"/>
  <c r="P5" i="4"/>
  <c r="P4" i="4"/>
  <c r="P3" i="4"/>
  <c r="P2" i="4"/>
  <c r="H36" i="2"/>
  <c r="G36" i="2"/>
  <c r="F36" i="2"/>
  <c r="I36" i="2" s="1"/>
  <c r="H35" i="2"/>
  <c r="G35" i="2"/>
  <c r="F35" i="2"/>
  <c r="I35" i="2" s="1"/>
  <c r="H34" i="2"/>
  <c r="G34" i="2"/>
  <c r="F34" i="2"/>
  <c r="I34" i="2" s="1"/>
  <c r="H33" i="2"/>
  <c r="G33" i="2"/>
  <c r="F33" i="2"/>
  <c r="I33" i="2" s="1"/>
  <c r="H32" i="2"/>
  <c r="G32" i="2"/>
  <c r="F32" i="2"/>
  <c r="I32" i="2" s="1"/>
  <c r="H31" i="2"/>
  <c r="G31" i="2"/>
  <c r="F31" i="2"/>
  <c r="I31" i="2" s="1"/>
  <c r="H30" i="2"/>
  <c r="G30" i="2"/>
  <c r="F30" i="2"/>
  <c r="I30" i="2" s="1"/>
  <c r="H29" i="2"/>
  <c r="G29" i="2"/>
  <c r="F29" i="2"/>
  <c r="I29" i="2" s="1"/>
  <c r="H28" i="2"/>
  <c r="G28" i="2"/>
  <c r="F28" i="2"/>
  <c r="I28" i="2" s="1"/>
  <c r="H27" i="2"/>
  <c r="G27" i="2"/>
  <c r="F27" i="2"/>
  <c r="I27" i="2" s="1"/>
  <c r="H26" i="2"/>
  <c r="G26" i="2"/>
  <c r="F26" i="2"/>
  <c r="I26" i="2" s="1"/>
  <c r="H25" i="2"/>
  <c r="G25" i="2"/>
  <c r="F25" i="2"/>
  <c r="I25" i="2" s="1"/>
  <c r="H24" i="2"/>
  <c r="G24" i="2"/>
  <c r="F24" i="2"/>
  <c r="I24" i="2" s="1"/>
  <c r="I23" i="2"/>
  <c r="H23" i="2"/>
  <c r="G23" i="2"/>
  <c r="F23" i="2"/>
  <c r="H22" i="2"/>
  <c r="G22" i="2"/>
  <c r="F22" i="2"/>
  <c r="I22" i="2" s="1"/>
  <c r="H21" i="2"/>
  <c r="G21" i="2"/>
  <c r="F21" i="2"/>
  <c r="I21" i="2" s="1"/>
  <c r="H20" i="2"/>
  <c r="G20" i="2"/>
  <c r="F20" i="2"/>
  <c r="I20" i="2" s="1"/>
  <c r="H19" i="2"/>
  <c r="G19" i="2"/>
  <c r="F19" i="2"/>
  <c r="I19" i="2" s="1"/>
  <c r="H18" i="2"/>
  <c r="G18" i="2"/>
  <c r="F18" i="2"/>
  <c r="I18" i="2" s="1"/>
  <c r="H17" i="2"/>
  <c r="G17" i="2"/>
  <c r="F17" i="2"/>
  <c r="I17" i="2" s="1"/>
  <c r="H16" i="2"/>
  <c r="G16" i="2"/>
  <c r="F16" i="2"/>
  <c r="I16" i="2" s="1"/>
  <c r="I15" i="2"/>
  <c r="H15" i="2"/>
  <c r="G15" i="2"/>
  <c r="F15" i="2"/>
  <c r="H14" i="2"/>
  <c r="G14" i="2"/>
  <c r="F14" i="2"/>
  <c r="I14" i="2" s="1"/>
  <c r="H13" i="2"/>
  <c r="G13" i="2"/>
  <c r="F13" i="2"/>
  <c r="I13" i="2" s="1"/>
  <c r="H12" i="2"/>
  <c r="G12" i="2"/>
  <c r="F12" i="2"/>
  <c r="I12" i="2" s="1"/>
  <c r="H11" i="2"/>
  <c r="G11" i="2"/>
  <c r="F11" i="2"/>
  <c r="I11" i="2" s="1"/>
  <c r="H10" i="2"/>
  <c r="G10" i="2"/>
  <c r="F10" i="2"/>
  <c r="I10" i="2" s="1"/>
  <c r="H9" i="2"/>
  <c r="G9" i="2"/>
  <c r="F9" i="2"/>
  <c r="I9" i="2" s="1"/>
  <c r="I8" i="2"/>
  <c r="H8" i="2"/>
  <c r="G8" i="2"/>
  <c r="F8" i="2"/>
  <c r="H7" i="2"/>
  <c r="G7" i="2"/>
  <c r="F7" i="2"/>
  <c r="I7" i="2" s="1"/>
  <c r="H6" i="2"/>
  <c r="G6" i="2"/>
  <c r="F6" i="2"/>
  <c r="I6" i="2" s="1"/>
  <c r="H5" i="2"/>
  <c r="G5" i="2"/>
  <c r="F5" i="2"/>
  <c r="I5" i="2" s="1"/>
  <c r="H4" i="2"/>
  <c r="G4" i="2"/>
  <c r="F4" i="2"/>
  <c r="I4" i="2" s="1"/>
  <c r="H3" i="2"/>
  <c r="G3" i="2"/>
  <c r="F3" i="2"/>
  <c r="I3" i="2" s="1"/>
  <c r="H2" i="2"/>
  <c r="G2" i="2"/>
  <c r="F2" i="2"/>
  <c r="I2" i="2" s="1"/>
  <c r="F37" i="5"/>
  <c r="E37" i="5"/>
  <c r="D37" i="5"/>
  <c r="C37" i="5"/>
  <c r="B37" i="5"/>
  <c r="F36" i="5"/>
  <c r="E36" i="5"/>
  <c r="D36" i="5"/>
  <c r="C36" i="5"/>
  <c r="B36" i="5"/>
  <c r="F35" i="5"/>
  <c r="E35" i="5"/>
  <c r="D35" i="5"/>
  <c r="C35" i="5"/>
  <c r="B35" i="5"/>
  <c r="F34" i="5"/>
  <c r="E34" i="5"/>
  <c r="D34" i="5"/>
  <c r="C34" i="5"/>
  <c r="B34" i="5"/>
  <c r="F33" i="5"/>
  <c r="E33" i="5"/>
  <c r="D33" i="5"/>
  <c r="C33" i="5"/>
  <c r="B33" i="5"/>
  <c r="F32" i="5"/>
  <c r="F38" i="5" s="1"/>
  <c r="E32" i="5"/>
  <c r="E38" i="5" s="1"/>
  <c r="D32" i="5"/>
  <c r="D38" i="5" s="1"/>
  <c r="C32" i="5"/>
  <c r="C38" i="5" s="1"/>
  <c r="B32" i="5"/>
  <c r="B38" i="5" s="1"/>
  <c r="B26" i="5"/>
  <c r="B25" i="5"/>
  <c r="B24" i="5"/>
  <c r="B23" i="5"/>
  <c r="B22" i="5"/>
  <c r="B27" i="5" s="1"/>
  <c r="B17" i="5"/>
  <c r="B16" i="5"/>
  <c r="B15" i="5"/>
  <c r="B18" i="5" s="1"/>
  <c r="B10" i="5"/>
  <c r="B9" i="5"/>
  <c r="B8" i="5"/>
  <c r="B7" i="5"/>
  <c r="B3" i="5"/>
  <c r="G21" i="7" l="1"/>
  <c r="B11" i="5"/>
  <c r="G9" i="6"/>
  <c r="F9" i="6"/>
  <c r="E9" i="6"/>
  <c r="D9" i="6"/>
  <c r="C9" i="6"/>
  <c r="B9" i="6"/>
  <c r="B6" i="6"/>
  <c r="G5" i="6"/>
  <c r="F5" i="6"/>
  <c r="E5" i="6"/>
  <c r="D5" i="6"/>
  <c r="C5" i="6"/>
  <c r="B5" i="6"/>
  <c r="C27" i="5"/>
  <c r="C26" i="5"/>
  <c r="C25" i="5"/>
  <c r="C24" i="5"/>
  <c r="C22" i="5"/>
  <c r="C18" i="5"/>
  <c r="C17" i="5"/>
  <c r="C16" i="5"/>
  <c r="C15" i="5"/>
  <c r="C11" i="5"/>
  <c r="C23" i="5"/>
  <c r="C9" i="5"/>
  <c r="C8" i="5"/>
  <c r="C7" i="5"/>
  <c r="C10" i="5"/>
</calcChain>
</file>

<file path=xl/sharedStrings.xml><?xml version="1.0" encoding="utf-8"?>
<sst xmlns="http://schemas.openxmlformats.org/spreadsheetml/2006/main" count="1406" uniqueCount="692">
  <si>
    <t>Task</t>
  </si>
  <si>
    <t>Owner</t>
  </si>
  <si>
    <t>Start date</t>
  </si>
  <si>
    <t>End date</t>
  </si>
  <si>
    <t>Status</t>
  </si>
  <si>
    <t>Environment setup (Docker + Paperless-ngx v3.3.0)</t>
  </si>
  <si>
    <t>Both</t>
  </si>
  <si>
    <t>Done</t>
  </si>
  <si>
    <t>Test plan: scope, entry and exit criteria</t>
  </si>
  <si>
    <t>Not Started</t>
  </si>
  <si>
    <t>Requirement analysis and RTM</t>
  </si>
  <si>
    <t>Test case design: M1 Auth &amp; Users, M2 Documents, M6 Trash &amp; Bulk</t>
  </si>
  <si>
    <t>Test case design: M3 Attributes, M4 Search &amp; Saved Views, M5 Workflows</t>
  </si>
  <si>
    <t>Prepare test data files (PDFs, images, empty and large files)</t>
  </si>
  <si>
    <t>Exploratory testing notes</t>
  </si>
  <si>
    <t>Execution + evidence: M1, M2, M6</t>
  </si>
  <si>
    <t>Musferah</t>
  </si>
  <si>
    <t>Execution + evidence: M3, M4, M5</t>
  </si>
  <si>
    <t>Defect logging and full defect reports (Appendix B)</t>
  </si>
  <si>
    <t>Test Summary Report: sections 1-5</t>
  </si>
  <si>
    <t>Test Summary Report: sections 6-9, charts, sign-off</t>
  </si>
  <si>
    <t>Evidence index, contribution table, reflection</t>
  </si>
  <si>
    <t>Viva rehearsal (10-minute walkthrough)</t>
  </si>
  <si>
    <t>Requirement ID</t>
  </si>
  <si>
    <t>Module / Feature</t>
  </si>
  <si>
    <t>Requirement</t>
  </si>
  <si>
    <t>Priority</t>
  </si>
  <si>
    <t>Linked Test Cases</t>
  </si>
  <si>
    <t># Test Cases</t>
  </si>
  <si>
    <t># Passed</t>
  </si>
  <si>
    <t># Failed</t>
  </si>
  <si>
    <t>Coverage</t>
  </si>
  <si>
    <t>FR-001</t>
  </si>
  <si>
    <t>M1 Auth &amp; Users</t>
  </si>
  <si>
    <t>A user with valid credentials can log in and reaches the dashboard.</t>
  </si>
  <si>
    <t>High</t>
  </si>
  <si>
    <t>TC-001</t>
  </si>
  <si>
    <t>FR-002</t>
  </si>
  <si>
    <t>Login with invalid, empty or unknown credentials is refused with a clear error message.</t>
  </si>
  <si>
    <t>TC-002, TC-003, TC-004</t>
  </si>
  <si>
    <t>FR-003</t>
  </si>
  <si>
    <t>Logging out ends the session and protected pages require login again.</t>
  </si>
  <si>
    <t>TC-005</t>
  </si>
  <si>
    <t>FR-004</t>
  </si>
  <si>
    <t>An admin can create users; usernames must be unique and passwords must satisfy the password rules.</t>
  </si>
  <si>
    <t>TC-006, TC-007, TC-008, TC-009</t>
  </si>
  <si>
    <t>FR-005</t>
  </si>
  <si>
    <t>User permissions restrict what a user can view, edit or delete; admins can edit and delete users.</t>
  </si>
  <si>
    <t>TC-010, TC-011, TC-066</t>
  </si>
  <si>
    <t>FR-006</t>
  </si>
  <si>
    <t>M2 Documents</t>
  </si>
  <si>
    <t>Valid documents (PDF, images) uploaded through the web UI are accepted, consumed and listed.</t>
  </si>
  <si>
    <t>TC-012, TC-013, TC-018</t>
  </si>
  <si>
    <t>FR-007</t>
  </si>
  <si>
    <t>Unsupported, empty or invalid files are rejected with a meaningful message and the system keeps working.</t>
  </si>
  <si>
    <t>TC-014, TC-015, TC-016</t>
  </si>
  <si>
    <t>FR-008</t>
  </si>
  <si>
    <t>The system detects duplicate documents.</t>
  </si>
  <si>
    <t>Medium</t>
  </si>
  <si>
    <t>TC-017</t>
  </si>
  <si>
    <t>FR-009</t>
  </si>
  <si>
    <t>A user can open a document and see its preview, metadata and extracted content.</t>
  </si>
  <si>
    <t>TC-019</t>
  </si>
  <si>
    <t>FR-010</t>
  </si>
  <si>
    <t>A user can edit document metadata (title, dates, ASN); changes persist; ASN must be unique and valid.</t>
  </si>
  <si>
    <t>TC-020, TC-021</t>
  </si>
  <si>
    <t>FR-011</t>
  </si>
  <si>
    <t>A user can download the original and archived versions of a document.</t>
  </si>
  <si>
    <t>TC-022</t>
  </si>
  <si>
    <t>FR-012</t>
  </si>
  <si>
    <t>Deleting a document moves it to the trash after confirmation.</t>
  </si>
  <si>
    <t>TC-023</t>
  </si>
  <si>
    <t>FR-013</t>
  </si>
  <si>
    <t>M3 Attributes</t>
  </si>
  <si>
    <t>A user can create tags with a name and colour; the name is required.</t>
  </si>
  <si>
    <t>TC-024, TC-025, TC-027</t>
  </si>
  <si>
    <t>FR-014</t>
  </si>
  <si>
    <t>Tags can be edited and deleted; names are unique; changes are reflected on all documents.</t>
  </si>
  <si>
    <t>TC-026, TC-030, TC-031</t>
  </si>
  <si>
    <t>FR-015</t>
  </si>
  <si>
    <t>A user can create correspondents with any valid name, including unicode and special characters.</t>
  </si>
  <si>
    <t>TC-028</t>
  </si>
  <si>
    <t>FR-016</t>
  </si>
  <si>
    <t>A user can create document types and assign them to documents.</t>
  </si>
  <si>
    <t>TC-029</t>
  </si>
  <si>
    <t>FR-017</t>
  </si>
  <si>
    <t>A user can create storage paths; invalid or empty paths are rejected.</t>
  </si>
  <si>
    <t>TC-032</t>
  </si>
  <si>
    <t>FR-018</t>
  </si>
  <si>
    <t>A user can create custom fields of each supported data type.</t>
  </si>
  <si>
    <t>TC-033, TC-061</t>
  </si>
  <si>
    <t>FR-019</t>
  </si>
  <si>
    <t>Custom field values are validated against the field's data type.</t>
  </si>
  <si>
    <t>TC-034, TC-062, TC-063, TC-064, TC-065</t>
  </si>
  <si>
    <t>FR-020</t>
  </si>
  <si>
    <t>M4 Search &amp; Saved Views</t>
  </si>
  <si>
    <t>Full-text search returns matching documents and handles no-result and unusual queries safely.</t>
  </si>
  <si>
    <t>TC-035, TC-036, TC-037</t>
  </si>
  <si>
    <t>FR-021</t>
  </si>
  <si>
    <t>Documents can be filtered by tag, correspondent, type and date range, alone or combined.</t>
  </si>
  <si>
    <t>TC-038, TC-039, TC-067</t>
  </si>
  <si>
    <t>FR-022</t>
  </si>
  <si>
    <t>The document list can be sorted by the available fields in both directions.</t>
  </si>
  <si>
    <t>Low</t>
  </si>
  <si>
    <t>TC-040</t>
  </si>
  <si>
    <t>FR-023</t>
  </si>
  <si>
    <t>A user can save the current filters and sort order as a saved view.</t>
  </si>
  <si>
    <t>TC-041, TC-042</t>
  </si>
  <si>
    <t>FR-024</t>
  </si>
  <si>
    <t>Saved views can be shown on the dashboard and in the sidebar.</t>
  </si>
  <si>
    <t>TC-043</t>
  </si>
  <si>
    <t>FR-025</t>
  </si>
  <si>
    <t>Saved views can be edited and deleted without affecting documents.</t>
  </si>
  <si>
    <t>TC-044</t>
  </si>
  <si>
    <t>FR-026</t>
  </si>
  <si>
    <t>M5 Workflows &amp; Matching</t>
  </si>
  <si>
    <t>A workflow with a consumption trigger applies its actions only to documents matching its filters.</t>
  </si>
  <si>
    <t>TC-051</t>
  </si>
  <si>
    <t>FR-027</t>
  </si>
  <si>
    <t>Automatic matching works for each algorithm (any, all, exact, regex) and the case-sensitivity option.</t>
  </si>
  <si>
    <t>TC-045, TC-046, TC-047, TC-048, TC-050</t>
  </si>
  <si>
    <t>FR-028</t>
  </si>
  <si>
    <t>An invalid matching pattern (for example a broken regex) is rejected with a clear message.</t>
  </si>
  <si>
    <t>TC-049</t>
  </si>
  <si>
    <t>FR-029</t>
  </si>
  <si>
    <t>A workflow can be enabled and disabled; a disabled workflow does not run.</t>
  </si>
  <si>
    <t>TC-052</t>
  </si>
  <si>
    <t>FR-030</t>
  </si>
  <si>
    <t>A workflow can be deleted; documents it already processed keep their values.</t>
  </si>
  <si>
    <t>TC-053</t>
  </si>
  <si>
    <t>FR-031</t>
  </si>
  <si>
    <t>M6 Trash &amp; Bulk Actions</t>
  </si>
  <si>
    <t>A document can be restored from the trash with its metadata intact.</t>
  </si>
  <si>
    <t>TC-054</t>
  </si>
  <si>
    <t>FR-032</t>
  </si>
  <si>
    <t>A document can be permanently deleted from the trash after confirmation.</t>
  </si>
  <si>
    <t>TC-055</t>
  </si>
  <si>
    <t>FR-033</t>
  </si>
  <si>
    <t>The trash can be emptied after confirmation.</t>
  </si>
  <si>
    <t>TC-056</t>
  </si>
  <si>
    <t>FR-034</t>
  </si>
  <si>
    <t>Bulk edit actions (for example adding a tag) apply only to the selected documents.</t>
  </si>
  <si>
    <t>TC-057, TC-058</t>
  </si>
  <si>
    <t>FR-035</t>
  </si>
  <si>
    <t>Bulk delete and bulk download act only on the selected documents.</t>
  </si>
  <si>
    <t>TC-059, TC-060</t>
  </si>
  <si>
    <t>Test Case ID</t>
  </si>
  <si>
    <t>Linked Requirement ID</t>
  </si>
  <si>
    <t>Title / Description</t>
  </si>
  <si>
    <t>Preconditions</t>
  </si>
  <si>
    <t>Test Steps</t>
  </si>
  <si>
    <t>Test Data</t>
  </si>
  <si>
    <t>Expected Result</t>
  </si>
  <si>
    <t>Actual Result</t>
  </si>
  <si>
    <t>Severity</t>
  </si>
  <si>
    <t>Technique</t>
  </si>
  <si>
    <t>Tester</t>
  </si>
  <si>
    <t>Execution Date</t>
  </si>
  <si>
    <t>Login with valid credentials</t>
  </si>
  <si>
    <t>Logged out; admin account exists.</t>
  </si>
  <si>
    <t>1. Open http://localhost:8000
2. Enter username
3. Enter password
4. Click Sign in</t>
  </si>
  <si>
    <t>Username: testing; Password: 12345</t>
  </si>
  <si>
    <t>User is logged in and lands on the Dashboard showing a greeting with the username.</t>
  </si>
  <si>
    <t>User is logged in successfully and a greeting message with the user name is showed</t>
  </si>
  <si>
    <t>Pass</t>
  </si>
  <si>
    <t>Critical</t>
  </si>
  <si>
    <t>EP</t>
  </si>
  <si>
    <t>TC-002</t>
  </si>
  <si>
    <t>Login with correct username and wrong password</t>
  </si>
  <si>
    <t>Logged out.</t>
  </si>
  <si>
    <t>1. Open the login page
2. Enter valid username
3. Enter wrong password
4. Click Sign in</t>
  </si>
  <si>
    <t>testing / WrongPass#1</t>
  </si>
  <si>
    <t>Login is refused with a clear error message; user stays on the login page; no session is created.</t>
  </si>
  <si>
    <t>login is refused although it didnt specify either the username was incorrect or the password</t>
  </si>
  <si>
    <t>Major</t>
  </si>
  <si>
    <t>TC-003</t>
  </si>
  <si>
    <t>Login with empty username and password</t>
  </si>
  <si>
    <t>1. Open the login page
2. Leave both fields empty
3. Click Sign in</t>
  </si>
  <si>
    <t>Username: (empty); Password: (empty)</t>
  </si>
  <si>
    <t>Login is refused with a validation message; no error page or crash.</t>
  </si>
  <si>
    <t>field is required error message shown</t>
  </si>
  <si>
    <t>Minor</t>
  </si>
  <si>
    <t>BVA, EG</t>
  </si>
  <si>
    <t>TC-004</t>
  </si>
  <si>
    <t>Login with a non-existent username</t>
  </si>
  <si>
    <t>1. Open the login page
2. Enter an unknown username and any password
3. Click Sign in</t>
  </si>
  <si>
    <t>nouser123 / Test@12345</t>
  </si>
  <si>
    <t>Login is refused with a clear error message.</t>
  </si>
  <si>
    <t>login is refused</t>
  </si>
  <si>
    <t>Logout ends the session</t>
  </si>
  <si>
    <t>Logged in.</t>
  </si>
  <si>
    <t>1. Click the username menu, choose Logout
2. Press the browser Back button
3. Open http://localhost:8000/documents directly</t>
  </si>
  <si>
    <t>n/a</t>
  </si>
  <si>
    <t>User is returned to the login page; Back and the direct URL do not show protected content until logging in again.</t>
  </si>
  <si>
    <t>user and signed out and the integrity of the data is maintained</t>
  </si>
  <si>
    <t>ST</t>
  </si>
  <si>
    <t>TC-006</t>
  </si>
  <si>
    <t>Admin creates a user with valid details</t>
  </si>
  <si>
    <t>Logged in as admin.</t>
  </si>
  <si>
    <t>1. Open Settings &gt; Users &amp; Groups
2. Click Create
3. Fill in username and password
4. Save
5. Log in as the new user in a private window</t>
  </si>
  <si>
    <t>Username: testing2; Password: Str0ng!Pass#2026</t>
  </si>
  <si>
    <t>User is created, appears in the user list and can log in.</t>
  </si>
  <si>
    <t>the user is created and can login with the correct credentials</t>
  </si>
  <si>
    <t>TC-007</t>
  </si>
  <si>
    <t>Password length boundary when creating a user</t>
  </si>
  <si>
    <t>1. Create a user with a 7-character password
2. Create a user with an 8-character password</t>
  </si>
  <si>
    <t>7 chars: Ab1!xyz; 8 chars: Ab1!xyz9</t>
  </si>
  <si>
    <t>The 7-character password is rejected with a message about minimum length; the 8-character password is accepted.</t>
  </si>
  <si>
    <t>the user is created with the 8 character password and not with the 7 character password</t>
  </si>
  <si>
    <t>BVA</t>
  </si>
  <si>
    <t>TC-008</t>
  </si>
  <si>
    <t>Create user with common or all-numeric password</t>
  </si>
  <si>
    <t>1. Create a user with password 12345678
2. Create a user with password password</t>
  </si>
  <si>
    <t>12345678; password</t>
  </si>
  <si>
    <t>Both passwords are rejected with a message, consistent with the validator shown by the createsuperuser command.</t>
  </si>
  <si>
    <t>both passwords are rejected stating the entirely numeric and too common validators</t>
  </si>
  <si>
    <t>TC-009</t>
  </si>
  <si>
    <t>Create user with a duplicate username</t>
  </si>
  <si>
    <t>User testing exists.</t>
  </si>
  <si>
    <t>1. Create another user named testing
2. Save</t>
  </si>
  <si>
    <t>Username: testing</t>
  </si>
  <si>
    <t>Creation is rejected with a clear 'already exists' style message; no duplicate user is created.</t>
  </si>
  <si>
    <t>the user creation is rejected with proper user already exsist error</t>
  </si>
  <si>
    <t>TC-010</t>
  </si>
  <si>
    <t>Permission matrix: view / edit / delete rights</t>
  </si>
  <si>
    <t>Admin logged in; at least 3 documents exist.</t>
  </si>
  <si>
    <t>1. Create 4 users with these permission sets on documents: view only; view+edit; view+delete; no permissions
2. Log in as each user
3. Try to view, edit and delete a document</t>
  </si>
  <si>
    <t>Permission sets: V / V+E / V+D / none</t>
  </si>
  <si>
    <t>Each user can perform only the actions their permissions allow; blocked actions are hidden or denied with a message.</t>
  </si>
  <si>
    <t>each user performs only the permitted action and the ui changes accordingly</t>
  </si>
  <si>
    <t>DT</t>
  </si>
  <si>
    <t>TC-011</t>
  </si>
  <si>
    <t>Edit and delete a user</t>
  </si>
  <si>
    <t>User tester01 exists.</t>
  </si>
  <si>
    <t>1. Edit tester01's email and save
2. Delete tester01
3. Try logging in as tester01</t>
  </si>
  <si>
    <t>Email: tester01@example.com</t>
  </si>
  <si>
    <t>Edit is saved; deleted user disappears from the list and can no longer log in.</t>
  </si>
  <si>
    <t xml:space="preserve">the user is deleted and is not able to  login </t>
  </si>
  <si>
    <t>TC-012</t>
  </si>
  <si>
    <t>Upload a valid PDF</t>
  </si>
  <si>
    <t>Logged in; sample.pdf prepared (1-page text PDF).</t>
  </si>
  <si>
    <t>1. Click Upload documents
2. Select sample.pdf
3. Wait for processing</t>
  </si>
  <si>
    <t>sample.pdf</t>
  </si>
  <si>
    <t>Upload succeeds with a notification; the document appears in Documents with extracted title and content.</t>
  </si>
  <si>
    <t>the documents uploads successfully with the progressive bar</t>
  </si>
  <si>
    <t>Azka</t>
  </si>
  <si>
    <t>TC-013</t>
  </si>
  <si>
    <t>Upload JPG and PNG images</t>
  </si>
  <si>
    <t>Logged in; sample.jpg and sample.png prepared (images containing text).</t>
  </si>
  <si>
    <t>1. Upload sample.jpg
2. Upload sample.png
3. Open each document</t>
  </si>
  <si>
    <t>sample.jpg, sample.png</t>
  </si>
  <si>
    <t>Both images are consumed and listed; text is extracted into the content tab.</t>
  </si>
  <si>
    <t>both png and jpg/jpeg formats are supported and the text is extracted in the contents tab</t>
  </si>
  <si>
    <t>TC-014</t>
  </si>
  <si>
    <t>Upload an unsupported file type</t>
  </si>
  <si>
    <t>1. Upload tool.exe
2. Upload fake.pdf (an .exe renamed to .pdf)
3. Check notifications and the document list</t>
  </si>
  <si>
    <t>tool.exe; fake.pdf</t>
  </si>
  <si>
    <t>Files are rejected or fail with a meaningful message; nothing invalid appears as a document; the app keeps working.</t>
  </si>
  <si>
    <t xml:space="preserve">the docx format is not supported and shows the error </t>
  </si>
  <si>
    <t>EP, EG</t>
  </si>
  <si>
    <t>TC-015</t>
  </si>
  <si>
    <t>Upload an empty (0 KB) file</t>
  </si>
  <si>
    <t>Logged in; empty.pdf with size 0 KB.</t>
  </si>
  <si>
    <t>1. Upload empty.pdf
2. Check notifications and the document list</t>
  </si>
  <si>
    <t>empty.pdf (0 KB)</t>
  </si>
  <si>
    <t>The file is rejected with a meaningful message; no crash and no blank document created.</t>
  </si>
  <si>
    <t>it shows the submitted file is empty error</t>
  </si>
  <si>
    <t>TC-016</t>
  </si>
  <si>
    <t>Upload a very large file</t>
  </si>
  <si>
    <t>Logged in; large.pdf of 50 MB or more.</t>
  </si>
  <si>
    <t>1. Upload large.pdf
2. Watch the upload and the notifications</t>
  </si>
  <si>
    <t>large.pdf (50 MB+)</t>
  </si>
  <si>
    <t>The file is either processed successfully or rejected with a clear size message; the UI stays responsive.</t>
  </si>
  <si>
    <t>this much large pdf isnt available for us</t>
  </si>
  <si>
    <t>Blocked</t>
  </si>
  <si>
    <t>Upload the same document twice</t>
  </si>
  <si>
    <t>sample.pdf already uploaded.</t>
  </si>
  <si>
    <t>1. Upload sample.pdf a second time
2. Check notifications and the document list</t>
  </si>
  <si>
    <t>The re-uploaded duplicate is detected and flagged on the document (Duplicates tab). This Paperless version consumes the file rather than rejecting it.</t>
  </si>
  <si>
    <t>the new official document says the duplicated files are allowed with the flag and it happens so</t>
  </si>
  <si>
    <t>TC-018</t>
  </si>
  <si>
    <t>Upload a file with special characters in its name</t>
  </si>
  <si>
    <t>1. Rename a PDF to the test name
2. Upload it
3. Open the document</t>
  </si>
  <si>
    <t>rēport #1 (final) &amp; copy.pdf</t>
  </si>
  <si>
    <t>Upload succeeds; the title and file name display correctly with no corruption.</t>
  </si>
  <si>
    <t>the document name accepts the characters and spaces</t>
  </si>
  <si>
    <t>EG</t>
  </si>
  <si>
    <t>Open document details and preview</t>
  </si>
  <si>
    <t>At least one document exists.</t>
  </si>
  <si>
    <t>1. Click a document in the list
2. View the preview
3. Open the Content and Metadata tabs</t>
  </si>
  <si>
    <t>Preview renders; metadata and extracted content are shown and match the document.</t>
  </si>
  <si>
    <t>the contents and meta data is shown correctly for the document</t>
  </si>
  <si>
    <t>TC-020</t>
  </si>
  <si>
    <t>Edit title and created date, then save</t>
  </si>
  <si>
    <t>A document exists.</t>
  </si>
  <si>
    <t>1. Open the document
2. Change title and created date
3. Save
4. Refresh the page and check the list</t>
  </si>
  <si>
    <t>Title: Invoice Oct 2026; Created: 2026-10-10</t>
  </si>
  <si>
    <t>Changes are saved, persist after refresh and show in the list.</t>
  </si>
  <si>
    <t>the changes persists</t>
  </si>
  <si>
    <t>TC-021</t>
  </si>
  <si>
    <t>Archive serial number (ASN): boundaries and uniqueness</t>
  </si>
  <si>
    <t>At least two documents exist.</t>
  </si>
  <si>
    <t>1. Set ASN 0 and 1 on document A
2. Set ASN 1 on document B
3. Try ASN -1
4. Try ASN 4294967296</t>
  </si>
  <si>
    <t>ASN: 0, 1, 1 (duplicate), -1, 4294967296</t>
  </si>
  <si>
    <t>Valid unique values are saved; duplicate, negative and out-of-range values are rejected with a clear message and no server error.</t>
  </si>
  <si>
    <t>the negative values are rejected alongside the duplicated ones the highest possible accepted value is 4294967295</t>
  </si>
  <si>
    <t>BVA, EP</t>
  </si>
  <si>
    <t>Download original and archived file</t>
  </si>
  <si>
    <t>1. Open the document
2. Click Download (original)
3. Click Download (archived), if offered
4. Open both files</t>
  </si>
  <si>
    <t>Files download and open correctly; content matches the document.</t>
  </si>
  <si>
    <t>Both documents opens correctly</t>
  </si>
  <si>
    <t>Delete a document moves it to the trash</t>
  </si>
  <si>
    <t>1. Select the document
2. Click Delete and confirm
3. Open the Trash page</t>
  </si>
  <si>
    <t>A confirmation is shown; the document leaves the list and appears in Trash; it is not permanently deleted.</t>
  </si>
  <si>
    <t>the file is shown in trash and removed from the list</t>
  </si>
  <si>
    <t>TC-024</t>
  </si>
  <si>
    <t>Create a tag with a valid name and colour</t>
  </si>
  <si>
    <t>1. Open Attributes &gt; Tags
2. Click Create
3. Enter name and choose a colour
4. Save</t>
  </si>
  <si>
    <t>Name: Invoices; Colour: green</t>
  </si>
  <si>
    <t>Tag is created, listed and selectable on documents.</t>
  </si>
  <si>
    <t>tag is created successfully and is selectable on the document</t>
  </si>
  <si>
    <t>TC-025</t>
  </si>
  <si>
    <t>Create a tag with an empty name</t>
  </si>
  <si>
    <t>1. Open Create tag
2. Leave the name empty
3. Click Save</t>
  </si>
  <si>
    <t>Name: (empty)</t>
  </si>
  <si>
    <t>Save is blocked with a clear 'name required' message.</t>
  </si>
  <si>
    <t xml:space="preserve">name required error is shown </t>
  </si>
  <si>
    <t>EP, BVA</t>
  </si>
  <si>
    <t>TC-026</t>
  </si>
  <si>
    <t>Create a tag with a duplicate name</t>
  </si>
  <si>
    <t>Tag 'Invoices' exists.</t>
  </si>
  <si>
    <t>1. Create a tag named Invoices
2. Create a tag named invoices (lowercase)</t>
  </si>
  <si>
    <t>Invoices; invoices</t>
  </si>
  <si>
    <t>The exact duplicate is rejected with a clear message. Names are compared case-sensitively, so a name differing only in letter case is accepted.</t>
  </si>
  <si>
    <t>the case sensitivity persists</t>
  </si>
  <si>
    <t>TC-027</t>
  </si>
  <si>
    <t>Tag name length boundary</t>
  </si>
  <si>
    <t>1. Create a tag with a 1-character name
2. Create a tag with a 128-character name
3. Create a tag with a 300-character name</t>
  </si>
  <si>
    <t>1 char: A; 128 chars; 300 chars</t>
  </si>
  <si>
    <t>1 character is accepted; very long names are accepted or rejected with a clear message; there is never a server error.</t>
  </si>
  <si>
    <t>no more then 128 characters are accepted</t>
  </si>
  <si>
    <t>Create a correspondent with unicode and special characters</t>
  </si>
  <si>
    <t>1. Open Attributes &gt; Correspondents
2. Create each name below
3. Check the list and a document using it</t>
  </si>
  <si>
    <t>Müller &amp; Söhne &lt;GmbH&gt;; علی ٹریڈرز; O'Brien "Ltd"</t>
  </si>
  <si>
    <t>All names are saved and displayed exactly as typed with no escaping errors.</t>
  </si>
  <si>
    <t>All names are saved respectively</t>
  </si>
  <si>
    <t>Create a document type and assign it to a document</t>
  </si>
  <si>
    <t>1. Create document type 'Invoice'
2. Open a document and set its type
3. Filter the list by that type</t>
  </si>
  <si>
    <t>Type: Invoice</t>
  </si>
  <si>
    <t>Type is created and assigned; the filter shows the document.</t>
  </si>
  <si>
    <t>the filter is showing the file according to the document type</t>
  </si>
  <si>
    <t>TC-030</t>
  </si>
  <si>
    <t>Rename a tag and check the documents</t>
  </si>
  <si>
    <t>A tag is assigned to a document.</t>
  </si>
  <si>
    <t>1. Edit the tag name to Invoices 2026
2. Save
3. Open the document and the document list</t>
  </si>
  <si>
    <t>New name: Invoices 2026</t>
  </si>
  <si>
    <t>The new name shows on every document that has the tag; the document count is unchanged.</t>
  </si>
  <si>
    <t>the document with the new tag is filtered with the new name</t>
  </si>
  <si>
    <t>TC-031</t>
  </si>
  <si>
    <t>Delete a tag that is assigned to documents</t>
  </si>
  <si>
    <t>A tag is assigned to at least two documents.</t>
  </si>
  <si>
    <t>1. Delete the tag and confirm
2. Open the affected documents</t>
  </si>
  <si>
    <t>Tag: Invoices 2026</t>
  </si>
  <si>
    <t>Confirmation is shown; the tag is removed from all documents; the documents themselves remain.</t>
  </si>
  <si>
    <t>the document remains without any effect after the tag is deleted</t>
  </si>
  <si>
    <t>Storage path with valid, invalid and empty paths</t>
  </si>
  <si>
    <t>1. Create a path using the placeholder syntax shown in the UI
2. Try a path with an unknown placeholder
3. Try an empty path</t>
  </si>
  <si>
    <t>Valid: {{ correspondent }}/{{ title }}; Invalid: {{ nonexistent_var }}; Empty</t>
  </si>
  <si>
    <t>The valid path is saved; the invalid and empty paths are rejected with a clear message.</t>
  </si>
  <si>
    <t>the valid paths are saved with the respective errors for both invalid and empty paths</t>
  </si>
  <si>
    <t>TC-033</t>
  </si>
  <si>
    <t>Create custom fields of each supported type</t>
  </si>
  <si>
    <t>1. Open Attributes &gt; Custom fields
2. Create one field of each available type (text, integer, date, boolean, monetary, URL, select)
3. Assign them to a document</t>
  </si>
  <si>
    <t>One field per type</t>
  </si>
  <si>
    <t>Every type is created and can be set on a document.</t>
  </si>
  <si>
    <t>every type is created successfully</t>
  </si>
  <si>
    <t>TC-034</t>
  </si>
  <si>
    <t>Custom field value validation</t>
  </si>
  <si>
    <t>Custom fields from the previous test exist.</t>
  </si>
  <si>
    <t>1. Enter invalid values in the integer, date and URL fields
2. Save
3. Enter valid values and save</t>
  </si>
  <si>
    <t>Integer: abc, 12.5, -5, 99999999999; Date: 31/02/2026; URL: not a url</t>
  </si>
  <si>
    <t>Invalid values are rejected with a message; valid values are saved and displayed correctly.</t>
  </si>
  <si>
    <t>inavlid values are rejected respectively</t>
  </si>
  <si>
    <t>EP, BVA, EG</t>
  </si>
  <si>
    <t>TC-035</t>
  </si>
  <si>
    <t>Search for a word present in a document</t>
  </si>
  <si>
    <t>A document containing the word exists and is indexed.</t>
  </si>
  <si>
    <t>1. Type the word into the top search box
2. Press Enter</t>
  </si>
  <si>
    <t>A word known to be in sample.pdf</t>
  </si>
  <si>
    <t>The document appears in the results with the match highlighted.</t>
  </si>
  <si>
    <t>the search shows the word in the document</t>
  </si>
  <si>
    <t>TC-036</t>
  </si>
  <si>
    <t>Search for a word that does not exist</t>
  </si>
  <si>
    <t>Documents exist.</t>
  </si>
  <si>
    <t>1. Search for the nonsense word
2. Check the results</t>
  </si>
  <si>
    <t>zzzxqv</t>
  </si>
  <si>
    <t>A clear 'no results' message is shown; no error.</t>
  </si>
  <si>
    <t xml:space="preserve">the search with vague words shows no result </t>
  </si>
  <si>
    <t>TC-037</t>
  </si>
  <si>
    <t>Search with empty and special-character queries</t>
  </si>
  <si>
    <t>1. Search with each query below
2. Check the page after each search</t>
  </si>
  <si>
    <t>(empty); (3 spaces); *; %; '; --; &lt;script&gt;alert(1)&lt;/script&gt;</t>
  </si>
  <si>
    <t>No crash or error page; special characters are handled safely and no script runs.</t>
  </si>
  <si>
    <t>no error with the empty spaces special characters and script dont run</t>
  </si>
  <si>
    <t>TC-038</t>
  </si>
  <si>
    <t>Combine tag and correspondent filters</t>
  </si>
  <si>
    <t>Documents with different tags and correspondents exist.</t>
  </si>
  <si>
    <t>1. Filter by tag only
2. Filter by correspondent only
3. Filter by both
4. Filter by neither</t>
  </si>
  <si>
    <t>Tag: Invoices; Correspondent: ACME</t>
  </si>
  <si>
    <t>Each combination returns exactly the documents that satisfy all active filters.</t>
  </si>
  <si>
    <t>each combination returns according to the desired filters</t>
  </si>
  <si>
    <t>TC-039</t>
  </si>
  <si>
    <t>Date range filter boundaries</t>
  </si>
  <si>
    <t>Documents created on 2026-10-09, 2026-10-10 and 2026-10-11 exist.</t>
  </si>
  <si>
    <t>1. Filter from 2026-10-10 to 2026-10-10
2. Filter from 2026-10-11 to 2026-10-09 (start after end)</t>
  </si>
  <si>
    <t>From/To: 2026-10-10 / 2026-10-10; 2026-10-11 / 2026-10-09</t>
  </si>
  <si>
    <t>The single-day filter returns only 10-Oct documents; the reversed range shows no results or a clear message.</t>
  </si>
  <si>
    <t>the filteration shows the correct results according to the dates</t>
  </si>
  <si>
    <t>Sort the document list</t>
  </si>
  <si>
    <t>At least 3 documents exist.</t>
  </si>
  <si>
    <t>1. Sort by Created, Added and Title
2. Toggle ascending and descending for each</t>
  </si>
  <si>
    <t>Sort fields: Created, Added, Title</t>
  </si>
  <si>
    <t>Order is correct for every field and direction.</t>
  </si>
  <si>
    <t>order is correct for all types of sorting</t>
  </si>
  <si>
    <t>TC-041</t>
  </si>
  <si>
    <t>Create a saved view from a filtered list</t>
  </si>
  <si>
    <t>Documents with tags exist.</t>
  </si>
  <si>
    <t>1. Apply a tag filter and a sort
2. Choose Save as and name the view
3. Open the saved view</t>
  </si>
  <si>
    <t>View name: Invoices Oct</t>
  </si>
  <si>
    <t>The view is saved and reproduces the same filters, sort and list when opened.</t>
  </si>
  <si>
    <t>saved view shows the same filters</t>
  </si>
  <si>
    <t>TC-042</t>
  </si>
  <si>
    <t>Saved view with an empty or duplicate name</t>
  </si>
  <si>
    <t>Saved view 'Invoices Oct' exists.</t>
  </si>
  <si>
    <t>1. Try to save a view with an empty name
2. Try to save another view named Invoices Oct</t>
  </si>
  <si>
    <t>(empty); Invoices Oct</t>
  </si>
  <si>
    <t>The empty name is rejected; the duplicate is rejected or handled with a clear message.</t>
  </si>
  <si>
    <t>the duplicated name shows no feedback</t>
  </si>
  <si>
    <t>Fail</t>
  </si>
  <si>
    <t>Saved view on the dashboard and in the sidebar</t>
  </si>
  <si>
    <t>A saved view exists.</t>
  </si>
  <si>
    <t>1. Turn 'show on dashboard' and 'show in sidebar' on
2. Refresh and check
3. Turn both off
4. Refresh and check</t>
  </si>
  <si>
    <t>View: Invoices Oct</t>
  </si>
  <si>
    <t>The view appears or disappears on the dashboard and in the sidebar according to the toggles.</t>
  </si>
  <si>
    <t>the view appears on the dashboard as expected</t>
  </si>
  <si>
    <t>Edit and delete a saved view</t>
  </si>
  <si>
    <t>1. Rename the view and save
2. Delete the view and confirm
3. Check the document list</t>
  </si>
  <si>
    <t>New name: Invoices Q4</t>
  </si>
  <si>
    <t>Rename persists; the deleted view disappears everywhere; documents are unaffected.</t>
  </si>
  <si>
    <t>the delete and rename shows the desired results</t>
  </si>
  <si>
    <t>TC-045</t>
  </si>
  <si>
    <t>Match algorithm 'Any word'</t>
  </si>
  <si>
    <t>Test PDFs prepared; tag with auto matching available.</t>
  </si>
  <si>
    <t>1. Create tag 'Invoices' with algorithm Any word and pattern 'invoice receipt'
2. Upload a PDF containing only the word receipt
3. Check its tags</t>
  </si>
  <si>
    <t>Pattern: invoice receipt; PDF text: 'receipt'</t>
  </si>
  <si>
    <t>The document is automatically tagged Invoices.</t>
  </si>
  <si>
    <t>the document tagged the invoices</t>
  </si>
  <si>
    <t>TC-046</t>
  </si>
  <si>
    <t>Match algorithm 'All words'</t>
  </si>
  <si>
    <t>Test PDFs prepared.</t>
  </si>
  <si>
    <t>1. Set the tag algorithm to All words with pattern 'invoice paid'
2. Upload a PDF with 'invoice paid'
3. Upload a PDF with only 'invoice'</t>
  </si>
  <si>
    <t>Pattern: invoice paid</t>
  </si>
  <si>
    <t>Only the PDF containing both words is tagged.</t>
  </si>
  <si>
    <t>pdf tagged having both words</t>
  </si>
  <si>
    <t>TC-047</t>
  </si>
  <si>
    <t>Match algorithm 'Exact'</t>
  </si>
  <si>
    <t>1. Set the algorithm to Exact with pattern 'Total Due'
2. Upload a PDF with 'Total Due'
3. Upload a PDF with 'Total amount due'</t>
  </si>
  <si>
    <t>Pattern: Total Due</t>
  </si>
  <si>
    <t>Only the PDF with the exact phrase is tagged.</t>
  </si>
  <si>
    <t>document is tagged with the exact phrase</t>
  </si>
  <si>
    <t>TC-048</t>
  </si>
  <si>
    <t>Match algorithm 'Regular expression' (valid)</t>
  </si>
  <si>
    <t>1. Set the algorithm to Regular expression with the pattern below
2. Upload a PDF containing INV-2026
3. Upload a PDF containing INV-26</t>
  </si>
  <si>
    <t>Pattern: ^INV-\d{4}; PDFs: INV-2026, INV-26</t>
  </si>
  <si>
    <t>Only the document with a 4-digit number matches and is tagged.</t>
  </si>
  <si>
    <t>the pdf with the 4 digit number is tagged</t>
  </si>
  <si>
    <t>Invalid regular expression is rejected</t>
  </si>
  <si>
    <t>1. Create a tag with algorithm Regular expression
2. Enter the broken pattern
3. Save</t>
  </si>
  <si>
    <t>Pattern: ([a-z</t>
  </si>
  <si>
    <t>Save is rejected with a clear validation message; the app stays stable.</t>
  </si>
  <si>
    <t>the save is rejected with a clear error message of invalid regular expression</t>
  </si>
  <si>
    <t>TC-050</t>
  </si>
  <si>
    <t>Case-sensitivity option</t>
  </si>
  <si>
    <t>1. Set pattern INVOICE with case-insensitive ON, upload a PDF containing 'invoice'
2. Set case-insensitive OFF, upload another PDF containing 'invoice'</t>
  </si>
  <si>
    <t>Pattern: INVOICE; PDF text: invoice</t>
  </si>
  <si>
    <t>With the option ON the document is tagged; with it OFF the document is not tagged.</t>
  </si>
  <si>
    <t>pdf is tagged according to the case sensitivity</t>
  </si>
  <si>
    <t>Workflow with consumption trigger and filename filter</t>
  </si>
  <si>
    <t>Logged in; tag 'Invoices' exists.</t>
  </si>
  <si>
    <t>1. Create a workflow: trigger Consumption, filename filter *invoice*, action Assign tag Invoices
2. Upload invoice_001.pdf
3. Upload notes.pdf</t>
  </si>
  <si>
    <t>invoice_001.pdf; notes.pdf</t>
  </si>
  <si>
    <t>Only invoice_001.pdf receives the tag; notes.pdf is untouched.</t>
  </si>
  <si>
    <t>invoice receives the workflow tag while notes receives nothing</t>
  </si>
  <si>
    <t>DT, EP</t>
  </si>
  <si>
    <t>Disable and re-enable a workflow</t>
  </si>
  <si>
    <t>The workflow exists.</t>
  </si>
  <si>
    <t>1. Disable the workflow
2. Upload invoice_002.pdf
3. Enable the workflow
4. Upload invoice_003.pdf</t>
  </si>
  <si>
    <t>invoice_002.pdf; invoice_003.pdf</t>
  </si>
  <si>
    <t>While disabled no tag is applied; after enabling the tag is applied.</t>
  </si>
  <si>
    <t>the invoice_003 shows the workflow tag while invoice_002 doenst which was uploaded after the disabling of the workflow</t>
  </si>
  <si>
    <t>Delete a workflow</t>
  </si>
  <si>
    <t>1. Delete the workflow and confirm
2. Upload invoice_004.pdf
3. Check earlier documents</t>
  </si>
  <si>
    <t>invoice_004.pdf</t>
  </si>
  <si>
    <t>The workflow is removed and no longer triggers; documents processed earlier keep their values.</t>
  </si>
  <si>
    <t>after deleting the workflow the document isnt tagged however the previous ones remains tagged with the workflow tag</t>
  </si>
  <si>
    <t>Restore a document from the trash</t>
  </si>
  <si>
    <t>A document is in the trash.</t>
  </si>
  <si>
    <t>1. Open Trash
2. Select the document and click Restore
3. Check the Documents list</t>
  </si>
  <si>
    <t>The document returns to the list with its metadata intact.</t>
  </si>
  <si>
    <t>the modified date is changed as expected</t>
  </si>
  <si>
    <t>Permanently delete one document from the trash</t>
  </si>
  <si>
    <t>Two documents are in the trash.</t>
  </si>
  <si>
    <t>1. Open Trash
2. Delete one document permanently and confirm
3. Check Trash and Documents</t>
  </si>
  <si>
    <t>Any trashed document</t>
  </si>
  <si>
    <t>A confirmation is shown; the document is gone from Trash and Documents and cannot be restored; the other trashed document is unaffected.</t>
  </si>
  <si>
    <t>the document is permanently removed</t>
  </si>
  <si>
    <t>Empty the trash</t>
  </si>
  <si>
    <t>Several documents are in the trash.</t>
  </si>
  <si>
    <t>1. Open Trash
2. Click Empty trash and confirm</t>
  </si>
  <si>
    <t>A confirmation is shown; all trashed documents are removed; Trash shows as empty.</t>
  </si>
  <si>
    <t>all documents are removed</t>
  </si>
  <si>
    <t>TC-057</t>
  </si>
  <si>
    <t>Bulk add a tag to selected documents</t>
  </si>
  <si>
    <t>Five documents exist.</t>
  </si>
  <si>
    <t>1. Select 3 of the 5 documents
2. Use the bulk tag action to add a tag
3. Check all 5 documents</t>
  </si>
  <si>
    <t>Tag: Reviewed; selected: 3 of 5</t>
  </si>
  <si>
    <t>Only the 3 selected documents receive the tag.</t>
  </si>
  <si>
    <t>the documents in bulk are tagged successfully</t>
  </si>
  <si>
    <t>TC-058</t>
  </si>
  <si>
    <t>Bulk action with no documents selected</t>
  </si>
  <si>
    <t>1. Make sure nothing is selected
2. Look for bulk action controls
3. Try to trigger one</t>
  </si>
  <si>
    <t>Selection: none</t>
  </si>
  <si>
    <t>Bulk controls are hidden or disabled; no error occurs.</t>
  </si>
  <si>
    <t>no error occurs</t>
  </si>
  <si>
    <t>Trivial</t>
  </si>
  <si>
    <t>TC-059</t>
  </si>
  <si>
    <t>Bulk delete only the selected documents</t>
  </si>
  <si>
    <t>1. Select 2 of the 5 documents
2. Click Delete and confirm
3. Check Documents and Trash</t>
  </si>
  <si>
    <t>Selected: 2 of 5</t>
  </si>
  <si>
    <t>The 2 selected documents move to Trash; the other 3 remain.</t>
  </si>
  <si>
    <t>the 2 documents are in the trash accordingly</t>
  </si>
  <si>
    <t>TC-060</t>
  </si>
  <si>
    <t>Bulk download selected documents</t>
  </si>
  <si>
    <t>1. Select 3 documents
2. Choose bulk Download
3. Open the downloaded archive</t>
  </si>
  <si>
    <t>Selected: 3 of 5</t>
  </si>
  <si>
    <t>One archive downloads and contains exactly the 3 selected documents; the files open correctly.</t>
  </si>
  <si>
    <t>the 3 files downloades correctly with the same contents inside as the original</t>
  </si>
  <si>
    <t>TC-061</t>
  </si>
  <si>
    <t>Create a Select custom field with no options</t>
  </si>
  <si>
    <t>1. Open Attributes &gt; Custom fields &gt; Create
2. Enter the name
3. Choose Data type: Select
4. Add no options
5. Click Save</t>
  </si>
  <si>
    <t>Name: select; Options: none</t>
  </si>
  <si>
    <t>A clear validation message asks for at least one option (or Save is disabled until an option exists); the field is not created.</t>
  </si>
  <si>
    <t>Red 'Error saving field' popup. Details: POST /api/custom_fields/, 400 Bad Request, 'extra_data.select_options must be a valid list' (internal API wording, no user-friendly message).</t>
  </si>
  <si>
    <t>TC-062</t>
  </si>
  <si>
    <t>Create a Select custom field with an empty option label</t>
  </si>
  <si>
    <t>1. Open Attributes &gt; Custom fields &gt; Create
2. Enter the name
3. Choose Data type: Select
4. Click Add option and leave the label empty
5. Click Save</t>
  </si>
  <si>
    <t>Name: select; Option label: (empty)</t>
  </si>
  <si>
    <t>The empty label is rejected with a clear validation message; no server error.</t>
  </si>
  <si>
    <t>500 Internal Server Error. The popup Details show a bare HTML 'Server Error (500)' page. A single valid label saves normally.</t>
  </si>
  <si>
    <t>EG, EP</t>
  </si>
  <si>
    <t>TC-063</t>
  </si>
  <si>
    <t>Create a Select custom field with a whitespace-only option label</t>
  </si>
  <si>
    <t>1. Open Attributes &gt; Custom fields &gt; Create
2. Enter the name
3. Choose Data type: Select
4. Add an option whose label is only spaces
5. Click Save</t>
  </si>
  <si>
    <t>Name: select; Option label: (spaces only)</t>
  </si>
  <si>
    <t>The whitespace-only label is rejected like an empty label.</t>
  </si>
  <si>
    <t>The field was saved successfully with the whitespace-only option.</t>
  </si>
  <si>
    <t>TC-064</t>
  </si>
  <si>
    <t>Create a Select custom field with two options that have the same label</t>
  </si>
  <si>
    <t>1. Open Attributes &gt; Custom fields &gt; Create
2. Enter the name
3. Choose Data type: Select
4. Add two options with identical labels
5. Click Save</t>
  </si>
  <si>
    <t>Name: select; Options: Option A, Option A</t>
  </si>
  <si>
    <t>Duplicate option labels are rejected (or at least flagged), as duplicate tag names are.</t>
  </si>
  <si>
    <t>Both options with the same label were accepted and saved.</t>
  </si>
  <si>
    <t>TC-065</t>
  </si>
  <si>
    <t>Create a Select custom field with exactly one option</t>
  </si>
  <si>
    <t>1. Open Attributes &gt; Custom fields &gt; Create
2. Enter the name
3. Choose Data type: Select
4. Add one option
5. Click Save</t>
  </si>
  <si>
    <t>Name: select; Options: Option A</t>
  </si>
  <si>
    <t>A Select field with a single option is accepted.</t>
  </si>
  <si>
    <t>The field was created successfully with one option.</t>
  </si>
  <si>
    <t>TC-066</t>
  </si>
  <si>
    <t>Restricted user without UISettings permission opens the app</t>
  </si>
  <si>
    <t>User exists with Document View and Delete only, Admin off, no UISettings permission; documents shared with the user.</t>
  </si>
  <si>
    <t>1. Log in as the restricted user
2. Look at the dashboard and the sidebar
3. Open the notifications and expand Details</t>
  </si>
  <si>
    <t>User: viewdeleteuser; Document: View, Delete; UISettings: none</t>
  </si>
  <si>
    <t>The user can use the permitted features, or sees a clear message explaining the missing access, with no raw technical error.</t>
  </si>
  <si>
    <t>Red 'Error loading settings' popup showing /api/ui_settings/ and 403 Forbidden; the sidebar shows only Dashboard and the Documents menu is missing. After UISettings: View is added, the Documents menu and the shared documents appear.</t>
  </si>
  <si>
    <t>TC-067</t>
  </si>
  <si>
    <t>Custom field filter with an incomplete condition (empty value)</t>
  </si>
  <si>
    <t>Logged in; documents exist.</t>
  </si>
  <si>
    <t>1. Open Documents and click the Custom fields filter
2. Add a condition: field 'date', operator 'Greater than or equal to'
3. Leave the value empty</t>
  </si>
  <si>
    <t>Field: date; Operator: Greater than or equal to; Value: (empty)</t>
  </si>
  <si>
    <t>The incomplete condition is ignored, or a clear message asks for a value; the list keeps working.</t>
  </si>
  <si>
    <t>The list shows 0 documents and a red banner reads 'Error while loading documents: custom_field_query: undefined'.</t>
  </si>
  <si>
    <t>Defect ID</t>
  </si>
  <si>
    <t>Title</t>
  </si>
  <si>
    <t>Linked TC ID</t>
  </si>
  <si>
    <t>Steps to Reproduce</t>
  </si>
  <si>
    <t>Evidence (EV no.)</t>
  </si>
  <si>
    <t>Reporter</t>
  </si>
  <si>
    <t>Date Reported</t>
  </si>
  <si>
    <t>Notes / Fix info</t>
  </si>
  <si>
    <t>Impact (used in Top 5 table)</t>
  </si>
  <si>
    <t>Rank score (automatic)</t>
  </si>
  <si>
    <t>DEF-001</t>
  </si>
  <si>
    <t>Empty option label in a Select custom field causes a 500 Internal Server Error</t>
  </si>
  <si>
    <t>1. Open Attributes &gt; Custom fields &gt; Create
2. Name: select; Data type: Select
3. Click Add option and leave the label empty
4. Click Save</t>
  </si>
  <si>
    <t>The empty label is rejected with a clear validation message and the field is not saved.</t>
  </si>
  <si>
    <t>Red 'Error saving field' popup. Details: POST /api/custom_fields/, status 500 Internal Server Error, with a raw HTML 'Server Error (500)' page. A single valid label saves normally.</t>
  </si>
  <si>
    <t>Open</t>
  </si>
  <si>
    <t>EV-016: Select field with empty option label, popup Details expanded (500 and HTML error page)</t>
  </si>
  <si>
    <t>Reproduced twice. Add the last traceback line from: docker compose logs --tail 60 webserver, and search upstream issues for 'custom field select option 500' before reporting.</t>
  </si>
  <si>
    <t>A blank option label crashes the server instead of showing a validation message, so the Select field cannot be created and the cause is unclear to the user.</t>
  </si>
  <si>
    <t>DEF-002</t>
  </si>
  <si>
    <t>Select custom field with no options shows a raw API error instead of a clear message</t>
  </si>
  <si>
    <t>1. Open Attributes &gt; Custom fields &gt; Create
2. Name: select; Data type: Select
3. Add no options
4. Click Save</t>
  </si>
  <si>
    <t>A clear message asks the user to add at least one option (or Save is disabled until an option exists).</t>
  </si>
  <si>
    <t>Red 'Error saving field' popup. Details: POST /api/custom_fields/, 400 Bad Request, 'extra_data.select_options must be a valid list'. The text is internal API wording.</t>
  </si>
  <si>
    <t>EV-022: popup after saving with no options
EV-023: popup Details expanded (400)</t>
  </si>
  <si>
    <t>The save is correctly refused; the defect is the unclear message. Related to DEF-001 (same form).</t>
  </si>
  <si>
    <t>Users see internal API wording instead of a plain instruction to add an option, so the fix is hard to find.</t>
  </si>
  <si>
    <t>DEF-003</t>
  </si>
  <si>
    <t>Whitespace-only option label is accepted in a Select custom field</t>
  </si>
  <si>
    <t>1. Open Attributes &gt; Custom fields &gt; Create
2. Name: select; Data type: Select
3. Add an option whose label is only spaces
4. Click Save</t>
  </si>
  <si>
    <t>The field is saved successfully with the whitespace-only option.</t>
  </si>
  <si>
    <t>Screenshot still to add: form with the spaces-only option and the success result</t>
  </si>
  <si>
    <t>Inconsistent with DEF-001: an empty label crashes (500) while a spaces-only label is accepted. Screenshot how the blank option looks in the document's dropdown.</t>
  </si>
  <si>
    <t>A blank-looking option can be saved and shows up as an empty choice on documents, which confuses users picking a value.</t>
  </si>
  <si>
    <t>DEF-004</t>
  </si>
  <si>
    <t>Duplicate option labels are accepted in a Select custom field</t>
  </si>
  <si>
    <t>1. Open Attributes &gt; Custom fields &gt; Create
2. Name: select; Data type: Select
3. Add two options with the same label (Option A, Option A)
4. Click Save</t>
  </si>
  <si>
    <t>Duplicate option labels are rejected or flagged, as duplicate tag names are.</t>
  </si>
  <si>
    <t>Both options with the same label are accepted and saved.</t>
  </si>
  <si>
    <t>Screenshot still to add: form with the two identical options and the success result</t>
  </si>
  <si>
    <t>Exact duplicate tag names are rejected (TC-026), so this is inconsistent. Screenshot the two identical choices in a document's dropdown.</t>
  </si>
  <si>
    <t>Identical options cannot be told apart, so users can pick the wrong value and the stored data becomes ambiguous.</t>
  </si>
  <si>
    <t>DEF-005</t>
  </si>
  <si>
    <t>Restricted user sees a raw 403 'Error loading settings' popup and an empty menu</t>
  </si>
  <si>
    <t>1. As admin, create a user with Document View and Delete only; Admin off; no UISettings permission
2. Share the documents with that user
3. Log in as that user</t>
  </si>
  <si>
    <t>Red 'Error loading settings' popup: /api/ui_settings/ 403 Forbidden. The sidebar shows only Dashboard and the Documents menu is missing. After UISettings: View is added, the menu and documents appear.</t>
  </si>
  <si>
    <t>EV-024: permissions page (no UISettings)
EV-025: 403 popup
EV-026: dashboard after UISettings added</t>
  </si>
  <si>
    <t>VERIFY BEFORE SUBMITTING: search the Paperless docs and GitHub discussions for 'UISettings' and 'ui_settings 403'. If this behaviour is documented as required, change Status to Rejected and move it to the observations section.</t>
  </si>
  <si>
    <t>A user with limited permissions sees a raw error and an almost empty menu, with no explanation of what is missing.</t>
  </si>
  <si>
    <t>DEF-006</t>
  </si>
  <si>
    <t>Saving a view with a duplicate name shows no message and no feedback</t>
  </si>
  <si>
    <t>1. Open Documents and apply a tag filter
2. Open Views &gt; Save as, enter a name and click Save
3. Apply the same filter again and open Save as
4. Enter the same name and click Save</t>
  </si>
  <si>
    <t>A clear message says the name already exists, or the Save button is disabled.</t>
  </si>
  <si>
    <t>Clicking Save gives no feedback: no error message, no confirmation, and the Save button is not disabled.</t>
  </si>
  <si>
    <t>EV-027: Save current view dialog with the duplicate name</t>
  </si>
  <si>
    <t>Open the Views list after saving and note whether a second view with the same name was created.</t>
  </si>
  <si>
    <t>Users get no feedback when a view cannot be saved, so they do not know whether it worked.</t>
  </si>
  <si>
    <t>DEF-007</t>
  </si>
  <si>
    <t>Custom field filter with an empty value shows a raw error ('custom_field_query: undefined')</t>
  </si>
  <si>
    <t>The incomplete condition is ignored, or a clear message asks for a value; the document list keeps working.</t>
  </si>
  <si>
    <t>EV-028: filter condition with empty value and the error banner</t>
  </si>
  <si>
    <t>Seen during testing; reproduce once more before the viva. Search upstream issues for 'custom_field_query undefined'.</t>
  </si>
  <si>
    <t>An incomplete filter breaks the document list with an unreadable error until the filter is reset.</t>
  </si>
  <si>
    <t>Defect Summary - Paperless-ngx v3.3.0</t>
  </si>
  <si>
    <t>All figures are formulas that read the DefectLog sheet, so they update when you add or change a defect.</t>
  </si>
  <si>
    <t>Total defects found</t>
  </si>
  <si>
    <t>The Top 5 most critical defects are on the Top5_Defects sheet.</t>
  </si>
  <si>
    <t>Defects by severity</t>
  </si>
  <si>
    <t>Count</t>
  </si>
  <si>
    <t>% of total</t>
  </si>
  <si>
    <t>Total</t>
  </si>
  <si>
    <t>Defects by priority</t>
  </si>
  <si>
    <t>Defects by status</t>
  </si>
  <si>
    <t>Fixed</t>
  </si>
  <si>
    <t>Closed</t>
  </si>
  <si>
    <t>Rejected</t>
  </si>
  <si>
    <t>Deferred</t>
  </si>
  <si>
    <t>Defects by module</t>
  </si>
  <si>
    <t>Module</t>
  </si>
  <si>
    <t>Top 5 Most Critical Defects - Paperless-ngx v3.3.0</t>
  </si>
  <si>
    <t>Ranking rule: higher severity first (Critical, Major, Minor, Trivial), then higher priority (High, Medium, Low), then the earlier defect ID. Updates automatically from the DefectLog sheet.</t>
  </si>
  <si>
    <t>Rank</t>
  </si>
  <si>
    <t>Impact</t>
  </si>
  <si>
    <t>Test Execution Summary - Paperless-ngx v3.3.0</t>
  </si>
  <si>
    <t>Metric</t>
  </si>
  <si>
    <t>Value</t>
  </si>
  <si>
    <t>Total test cases designed</t>
  </si>
  <si>
    <t>Test cases executed (Passed + Failed)</t>
  </si>
  <si>
    <t>Passed</t>
  </si>
  <si>
    <t>Failed</t>
  </si>
  <si>
    <t>Not executed</t>
  </si>
  <si>
    <t>Pass percentage (Passed / Executed)</t>
  </si>
  <si>
    <t>Execution effort (hours) - enter total</t>
  </si>
  <si>
    <t>Module-wise breakdown</t>
  </si>
  <si>
    <t>Not Executed</t>
  </si>
  <si>
    <t>Defects</t>
  </si>
  <si>
    <t>Defect summary</t>
  </si>
  <si>
    <t>Total defects</t>
  </si>
  <si>
    <t>Test design technique coverage (a test may use more than one technique)</t>
  </si>
  <si>
    <t>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</si>
</sst>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00"/>
    <numFmt numFmtId="166" formatCode="0.0%"/>
  </numFmts>
  <fonts count="8" x14ac:knownFonts="1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0" xfId="0" applyFont="1"/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top" wrapText="1"/>
    </xf>
    <xf numFmtId="165" fontId="0" fillId="0" borderId="0" xfId="0" applyNumberFormat="1" applyAlignment="1">
      <alignment horizontal="center" vertical="top" wrapText="1"/>
    </xf>
    <xf numFmtId="0" fontId="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9" fontId="2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5" fontId="2" fillId="4" borderId="1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164" fontId="2" fillId="5" borderId="1" xfId="0" applyNumberFormat="1" applyFont="1" applyFill="1" applyBorder="1" applyAlignment="1">
      <alignment horizontal="center" vertical="top" wrapText="1"/>
    </xf>
    <xf numFmtId="165" fontId="2" fillId="6" borderId="1" xfId="0" applyNumberFormat="1" applyFont="1" applyFill="1" applyBorder="1" applyAlignment="1">
      <alignment horizontal="center" vertical="top" wrapText="1"/>
    </xf>
    <xf numFmtId="0" fontId="0" fillId="6" borderId="0" xfId="0" applyFill="1"/>
    <xf numFmtId="165" fontId="7" fillId="4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Defects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Defect_Summary!$B$6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Defect_Summary!$A$7:$A$10</c:f>
              <c:strCache>
                <c:ptCount val="4"/>
                <c:pt idx="0">
                  <c:v>Critical</c:v>
                </c:pt>
                <c:pt idx="1">
                  <c:v>Major</c:v>
                </c:pt>
                <c:pt idx="2">
                  <c:v>Minor</c:v>
                </c:pt>
                <c:pt idx="3">
                  <c:v>Trivial</c:v>
                </c:pt>
              </c:strCache>
            </c:strRef>
          </c:cat>
          <c:val>
            <c:numRef>
              <c:f>Defect_Summary!$B$7:$B$10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9-4F54-ACA5-1B838308D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64300"/>
        <c:axId val="71067619"/>
      </c:barChart>
      <c:catAx>
        <c:axId val="772643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71067619"/>
        <c:crosses val="autoZero"/>
        <c:auto val="1"/>
        <c:lblAlgn val="ctr"/>
        <c:lblOffset val="100"/>
        <c:noMultiLvlLbl val="0"/>
      </c:catAx>
      <c:valAx>
        <c:axId val="710676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Defects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772643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Defects by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Defect_Summary!$B$31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Defect_Summary!$A$32:$A$37</c:f>
              <c:strCache>
                <c:ptCount val="6"/>
                <c:pt idx="0">
                  <c:v>M1 Auth &amp; Users</c:v>
                </c:pt>
                <c:pt idx="1">
                  <c:v>M2 Documents</c:v>
                </c:pt>
                <c:pt idx="2">
                  <c:v>M3 Attributes</c:v>
                </c:pt>
                <c:pt idx="3">
                  <c:v>M4 Search &amp; Saved Views</c:v>
                </c:pt>
                <c:pt idx="4">
                  <c:v>M5 Workflows &amp; Matching</c:v>
                </c:pt>
                <c:pt idx="5">
                  <c:v>M6 Trash &amp; Bulk Actions</c:v>
                </c:pt>
              </c:strCache>
            </c:strRef>
          </c:cat>
          <c:val>
            <c:numRef>
              <c:f>Defect_Summary!$B$32:$B$37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7-448C-B827-8FA5D4C3F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358190"/>
        <c:axId val="58664179"/>
      </c:barChart>
      <c:catAx>
        <c:axId val="353581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58664179"/>
        <c:crosses val="autoZero"/>
        <c:auto val="1"/>
        <c:lblAlgn val="ctr"/>
        <c:lblOffset val="100"/>
        <c:noMultiLvlLbl val="0"/>
      </c:catAx>
      <c:valAx>
        <c:axId val="58664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Defects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353581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Test execution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1B9-4E67-BB2D-CAF93800ECE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1B9-4E67-BB2D-CAF93800ECE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1B9-4E67-BB2D-CAF93800ECE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1B9-4E67-BB2D-CAF93800ECE9}"/>
              </c:ext>
            </c:extLst>
          </c:dPt>
          <c:dLbls>
            <c:dLbl>
              <c:idx val="0"/>
              <c:tx>
                <c:rich>
                  <a:bodyPr wrap="square"/>
                  <a:lstStyle/>
                  <a:p>
                    <a:pPr>
                      <a:defRPr lang="en-US"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EDAFCF44-2D70-4A9D-862B-E6CDE9A020C7}" type="CATEGORYNAM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baseline="0"/>
                      <a:t>; </a:t>
                    </a:r>
                    <a:fld id="{96613336-96ED-446E-9FD3-F58CF4C2CAA8}" type="VALU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baseline="0"/>
                      <a:t>; </a:t>
                    </a:r>
                    <a:fld id="{0402A62A-0388-4D68-84DF-09C2BF41135B}" type="PERCENTAG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1B9-4E67-BB2D-CAF93800ECE9}"/>
                </c:ext>
              </c:extLst>
            </c:dLbl>
            <c:dLbl>
              <c:idx val="1"/>
              <c:tx>
                <c:rich>
                  <a:bodyPr wrap="square"/>
                  <a:lstStyle/>
                  <a:p>
                    <a:pPr>
                      <a:defRPr lang="en-US"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r>
                      <a:rPr lang="en-US" baseline="0"/>
                      <a:t> </a:t>
                    </a:r>
                    <a:fld id="{8C2737BB-80B5-4A0D-9453-4D0E6C107943}" type="CATEGORYNAM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baseline="0"/>
                      <a:t>; </a:t>
                    </a:r>
                    <a:fld id="{8EA866F1-AAFB-4F85-A221-9FE3C478A084}" type="VALU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baseline="0"/>
                      <a:t>; </a:t>
                    </a:r>
                    <a:fld id="{8001FE58-37A3-4B0A-8BCC-5C033DE408E2}" type="PERCENTAG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1B9-4E67-BB2D-CAF93800ECE9}"/>
                </c:ext>
              </c:extLst>
            </c:dLbl>
            <c:dLbl>
              <c:idx val="2"/>
              <c:tx>
                <c:rich>
                  <a:bodyPr wrap="square"/>
                  <a:lstStyle/>
                  <a:p>
                    <a:pPr>
                      <a:defRPr lang="en-US"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r>
                      <a:rPr lang="en-US" baseline="0"/>
                      <a:t> </a:t>
                    </a:r>
                    <a:fld id="{252D59A6-64D1-4902-BCEB-69C14F4D3118}" type="CATEGORYNAM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baseline="0"/>
                      <a:t>; </a:t>
                    </a:r>
                    <a:fld id="{07E5E15D-520A-45EE-B328-AC3C9F43D95A}" type="VALU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baseline="0"/>
                      <a:t>; </a:t>
                    </a:r>
                    <a:fld id="{386867A1-5820-4D30-B0A6-7E278C6B6D80}" type="PERCENTAG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1B9-4E67-BB2D-CAF93800ECE9}"/>
                </c:ext>
              </c:extLst>
            </c:dLbl>
            <c:dLbl>
              <c:idx val="3"/>
              <c:layout>
                <c:manualLayout>
                  <c:x val="-0.2051714963821995"/>
                  <c:y val="3.6332234367482508E-2"/>
                </c:manualLayout>
              </c:layout>
              <c:tx>
                <c:rich>
                  <a:bodyPr wrap="square"/>
                  <a:lstStyle/>
                  <a:p>
                    <a:pPr>
                      <a:defRPr lang="en-US"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r>
                      <a:rPr lang="en-US" baseline="0"/>
                      <a:t> </a:t>
                    </a:r>
                    <a:fld id="{E216AA52-66F7-4845-8F65-04866381D7B9}" type="CATEGORYNAM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baseline="0"/>
                      <a:t>; </a:t>
                    </a:r>
                    <a:fld id="{543445C3-9BEF-4F36-B105-F47070F1D296}" type="VALU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[VALUE]</a:t>
                    </a:fld>
                    <a:r>
                      <a:rPr lang="en-US" baseline="0"/>
                      <a:t>; </a:t>
                    </a:r>
                    <a:fld id="{6AF762E8-8C20-4DA8-8750-F23320DA4BCA}" type="PERCENTAGE">
                      <a:rPr lang="en-US" baseline="0"/>
                      <a:pPr>
                        <a:defRPr lang="en-US"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91B9-4E67-BB2D-CAF93800EC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PK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Summary!$A$6:$A$9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  <c:pt idx="3">
                  <c:v>Not executed</c:v>
                </c:pt>
              </c:strCache>
            </c:strRef>
          </c:cat>
          <c:val>
            <c:numRef>
              <c:f>Summary!$B$6:$B$9</c:f>
              <c:numCache>
                <c:formatCode>General</c:formatCode>
                <c:ptCount val="4"/>
                <c:pt idx="0">
                  <c:v>59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B9-4E67-BB2D-CAF93800E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Defects by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Summary!$G$14</c:f>
              <c:strCache>
                <c:ptCount val="1"/>
                <c:pt idx="0">
                  <c:v>Defects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Summary!$A$15:$A$20</c:f>
              <c:strCache>
                <c:ptCount val="6"/>
                <c:pt idx="0">
                  <c:v>M1 Auth &amp; Users</c:v>
                </c:pt>
                <c:pt idx="1">
                  <c:v>M2 Documents</c:v>
                </c:pt>
                <c:pt idx="2">
                  <c:v>M3 Attributes</c:v>
                </c:pt>
                <c:pt idx="3">
                  <c:v>M4 Search &amp; Saved Views</c:v>
                </c:pt>
                <c:pt idx="4">
                  <c:v>M5 Workflows &amp; Matching</c:v>
                </c:pt>
                <c:pt idx="5">
                  <c:v>M6 Trash &amp; Bulk Actions</c:v>
                </c:pt>
              </c:strCache>
            </c:strRef>
          </c:cat>
          <c:val>
            <c:numRef>
              <c:f>Summary!$G$15:$G$20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F-4B17-A15E-D2F64D8C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645199"/>
        <c:axId val="7096775"/>
      </c:barChart>
      <c:catAx>
        <c:axId val="466451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7096775"/>
        <c:crosses val="autoZero"/>
        <c:auto val="1"/>
        <c:lblAlgn val="ctr"/>
        <c:lblOffset val="100"/>
        <c:noMultiLvlLbl val="0"/>
      </c:catAx>
      <c:valAx>
        <c:axId val="7096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Defects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46645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160920</xdr:rowOff>
    </xdr:from>
    <xdr:to>
      <xdr:col>14</xdr:col>
      <xdr:colOff>398880</xdr:colOff>
      <xdr:row>18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160920</xdr:rowOff>
    </xdr:from>
    <xdr:to>
      <xdr:col>15</xdr:col>
      <xdr:colOff>507600</xdr:colOff>
      <xdr:row>35</xdr:row>
      <xdr:rowOff>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575252</xdr:colOff>
      <xdr:row>0</xdr:row>
      <xdr:rowOff>25741</xdr:rowOff>
    </xdr:from>
    <xdr:to>
      <xdr:col>20</xdr:col>
      <xdr:colOff>191398</xdr:colOff>
      <xdr:row>17</xdr:row>
      <xdr:rowOff>188974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156240</xdr:colOff>
      <xdr:row>19</xdr:row>
      <xdr:rowOff>1440</xdr:rowOff>
    </xdr:from>
    <xdr:to>
      <xdr:col>19</xdr:col>
      <xdr:colOff>302760</xdr:colOff>
      <xdr:row>34</xdr:row>
      <xdr:rowOff>26280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pane ySplit="1" topLeftCell="A2" activePane="bottomLeft" state="frozen"/>
      <selection pane="bottomLeft" activeCell="E16" sqref="E16"/>
    </sheetView>
  </sheetViews>
  <sheetFormatPr defaultColWidth="8.6640625" defaultRowHeight="15.05" x14ac:dyDescent="0.3"/>
  <cols>
    <col min="1" max="1" width="62" customWidth="1"/>
    <col min="2" max="2" width="16" customWidth="1"/>
    <col min="3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4">
        <v>46305</v>
      </c>
      <c r="D2" s="4">
        <v>46305</v>
      </c>
      <c r="E2" s="5" t="s">
        <v>7</v>
      </c>
    </row>
    <row r="3" spans="1:5" x14ac:dyDescent="0.3">
      <c r="A3" s="2" t="s">
        <v>8</v>
      </c>
      <c r="B3" s="3" t="s">
        <v>245</v>
      </c>
      <c r="C3" s="4">
        <v>46305</v>
      </c>
      <c r="D3" s="4">
        <v>46306</v>
      </c>
      <c r="E3" s="5" t="s">
        <v>7</v>
      </c>
    </row>
    <row r="4" spans="1:5" x14ac:dyDescent="0.3">
      <c r="A4" s="2" t="s">
        <v>10</v>
      </c>
      <c r="B4" s="3" t="s">
        <v>16</v>
      </c>
      <c r="C4" s="4">
        <v>46305</v>
      </c>
      <c r="D4" s="4">
        <v>46306</v>
      </c>
      <c r="E4" s="5" t="s">
        <v>7</v>
      </c>
    </row>
    <row r="5" spans="1:5" x14ac:dyDescent="0.3">
      <c r="A5" s="2" t="s">
        <v>11</v>
      </c>
      <c r="B5" s="3" t="s">
        <v>245</v>
      </c>
      <c r="C5" s="4">
        <v>46305</v>
      </c>
      <c r="D5" s="4">
        <v>46306</v>
      </c>
      <c r="E5" s="5" t="s">
        <v>7</v>
      </c>
    </row>
    <row r="6" spans="1:5" x14ac:dyDescent="0.3">
      <c r="A6" s="2" t="s">
        <v>12</v>
      </c>
      <c r="B6" s="3" t="s">
        <v>16</v>
      </c>
      <c r="C6" s="4">
        <v>46305</v>
      </c>
      <c r="D6" s="4">
        <v>46306</v>
      </c>
      <c r="E6" s="5" t="s">
        <v>7</v>
      </c>
    </row>
    <row r="7" spans="1:5" x14ac:dyDescent="0.3">
      <c r="A7" s="2" t="s">
        <v>13</v>
      </c>
      <c r="B7" s="3" t="s">
        <v>16</v>
      </c>
      <c r="C7" s="4">
        <v>46305</v>
      </c>
      <c r="D7" s="4">
        <v>46305</v>
      </c>
      <c r="E7" s="5" t="s">
        <v>7</v>
      </c>
    </row>
    <row r="8" spans="1:5" x14ac:dyDescent="0.3">
      <c r="A8" s="2" t="s">
        <v>14</v>
      </c>
      <c r="B8" s="3" t="s">
        <v>6</v>
      </c>
      <c r="C8" s="4">
        <v>46305</v>
      </c>
      <c r="D8" s="4">
        <v>46306</v>
      </c>
      <c r="E8" s="5" t="s">
        <v>7</v>
      </c>
    </row>
    <row r="9" spans="1:5" x14ac:dyDescent="0.3">
      <c r="A9" s="2" t="s">
        <v>15</v>
      </c>
      <c r="B9" s="3" t="s">
        <v>16</v>
      </c>
      <c r="C9" s="4">
        <v>46306</v>
      </c>
      <c r="D9" s="4">
        <v>46307</v>
      </c>
      <c r="E9" s="5" t="s">
        <v>7</v>
      </c>
    </row>
    <row r="10" spans="1:5" x14ac:dyDescent="0.3">
      <c r="A10" s="2" t="s">
        <v>17</v>
      </c>
      <c r="B10" s="3" t="s">
        <v>16</v>
      </c>
      <c r="C10" s="4">
        <v>46306</v>
      </c>
      <c r="D10" s="4">
        <v>46307</v>
      </c>
      <c r="E10" s="5" t="s">
        <v>7</v>
      </c>
    </row>
    <row r="11" spans="1:5" x14ac:dyDescent="0.3">
      <c r="A11" s="2" t="s">
        <v>18</v>
      </c>
      <c r="B11" s="3" t="s">
        <v>6</v>
      </c>
      <c r="C11" s="4">
        <v>46306</v>
      </c>
      <c r="D11" s="4">
        <v>46307</v>
      </c>
      <c r="E11" s="5" t="s">
        <v>7</v>
      </c>
    </row>
    <row r="12" spans="1:5" x14ac:dyDescent="0.3">
      <c r="A12" s="2" t="s">
        <v>19</v>
      </c>
      <c r="B12" s="3" t="s">
        <v>245</v>
      </c>
      <c r="C12" s="4">
        <v>46307</v>
      </c>
      <c r="D12" s="4">
        <v>46307</v>
      </c>
      <c r="E12" s="5" t="s">
        <v>7</v>
      </c>
    </row>
    <row r="13" spans="1:5" x14ac:dyDescent="0.3">
      <c r="A13" s="2" t="s">
        <v>20</v>
      </c>
      <c r="B13" s="3" t="s">
        <v>245</v>
      </c>
      <c r="C13" s="4">
        <v>46307</v>
      </c>
      <c r="D13" s="4">
        <v>46307</v>
      </c>
      <c r="E13" s="5" t="s">
        <v>7</v>
      </c>
    </row>
    <row r="14" spans="1:5" x14ac:dyDescent="0.3">
      <c r="A14" s="2" t="s">
        <v>21</v>
      </c>
      <c r="B14" s="3" t="s">
        <v>6</v>
      </c>
      <c r="C14" s="4">
        <v>46307</v>
      </c>
      <c r="D14" s="4">
        <v>46307</v>
      </c>
      <c r="E14" s="5" t="s">
        <v>7</v>
      </c>
    </row>
    <row r="15" spans="1:5" x14ac:dyDescent="0.3">
      <c r="A15" s="2" t="s">
        <v>22</v>
      </c>
      <c r="B15" s="3" t="s">
        <v>6</v>
      </c>
      <c r="C15" s="4">
        <v>46307</v>
      </c>
      <c r="D15" s="4">
        <v>46307</v>
      </c>
      <c r="E15" s="5" t="s">
        <v>9</v>
      </c>
    </row>
    <row r="17" spans="1:1" x14ac:dyDescent="0.3">
      <c r="A17" s="6"/>
    </row>
  </sheetData>
  <dataValidations count="1">
    <dataValidation type="list" allowBlank="1" sqref="E2:E15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opLeftCell="C1" zoomScale="89" zoomScaleNormal="89" workbookViewId="0">
      <pane ySplit="1" topLeftCell="A2" activePane="bottomLeft" state="frozen"/>
      <selection activeCell="C1" sqref="C1"/>
      <selection pane="bottomLeft" activeCell="F3" sqref="F3"/>
    </sheetView>
  </sheetViews>
  <sheetFormatPr defaultColWidth="8.6640625" defaultRowHeight="15.05" x14ac:dyDescent="0.3"/>
  <cols>
    <col min="1" max="1" width="14" customWidth="1"/>
    <col min="2" max="2" width="24" customWidth="1"/>
    <col min="3" max="3" width="70" customWidth="1"/>
    <col min="4" max="4" width="10" customWidth="1"/>
    <col min="5" max="5" width="34" customWidth="1"/>
    <col min="6" max="6" width="12" customWidth="1"/>
    <col min="7" max="8" width="10" customWidth="1"/>
    <col min="9" max="9" width="14" customWidth="1"/>
  </cols>
  <sheetData>
    <row r="1" spans="1:9" ht="26.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3">
      <c r="A2" s="5" t="s">
        <v>32</v>
      </c>
      <c r="B2" s="2" t="s">
        <v>33</v>
      </c>
      <c r="C2" s="2" t="s">
        <v>34</v>
      </c>
      <c r="D2" s="5" t="s">
        <v>35</v>
      </c>
      <c r="E2" s="2" t="s">
        <v>36</v>
      </c>
      <c r="F2" s="5">
        <f>COUNTIF(TestCases!$C$2:$C$300,A2)</f>
        <v>1</v>
      </c>
      <c r="G2" s="5">
        <f>COUNTIFS(TestCases!$C$2:$C$300,A2,TestCases!$J$2:$J$300,"Pass")</f>
        <v>1</v>
      </c>
      <c r="H2" s="5">
        <f>COUNTIFS(TestCases!$C$2:$C$300,A2,TestCases!$J$2:$J$300,"Fail")</f>
        <v>0</v>
      </c>
      <c r="I2" s="5" t="str">
        <f t="shared" ref="I2:I36" si="0">IF(F2=0,"NOT COVERED","Covered")</f>
        <v>Covered</v>
      </c>
    </row>
    <row r="3" spans="1:9" x14ac:dyDescent="0.3">
      <c r="A3" s="5" t="s">
        <v>37</v>
      </c>
      <c r="B3" s="2" t="s">
        <v>33</v>
      </c>
      <c r="C3" s="2" t="s">
        <v>38</v>
      </c>
      <c r="D3" s="5" t="s">
        <v>35</v>
      </c>
      <c r="E3" s="2" t="s">
        <v>39</v>
      </c>
      <c r="F3" s="5">
        <f>COUNTIF(TestCases!$C$2:$C$300,A3)</f>
        <v>3</v>
      </c>
      <c r="G3" s="5">
        <f>COUNTIFS(TestCases!$C$2:$C$300,A3,TestCases!$J$2:$J$300,"Pass")</f>
        <v>3</v>
      </c>
      <c r="H3" s="5">
        <f>COUNTIFS(TestCases!$C$2:$C$300,A3,TestCases!$J$2:$J$300,"Fail")</f>
        <v>0</v>
      </c>
      <c r="I3" s="5" t="str">
        <f t="shared" si="0"/>
        <v>Covered</v>
      </c>
    </row>
    <row r="4" spans="1:9" x14ac:dyDescent="0.3">
      <c r="A4" s="5" t="s">
        <v>40</v>
      </c>
      <c r="B4" s="2" t="s">
        <v>33</v>
      </c>
      <c r="C4" s="2" t="s">
        <v>41</v>
      </c>
      <c r="D4" s="5" t="s">
        <v>35</v>
      </c>
      <c r="E4" s="2" t="s">
        <v>42</v>
      </c>
      <c r="F4" s="5">
        <f>COUNTIF(TestCases!$C$2:$C$300,A4)</f>
        <v>1</v>
      </c>
      <c r="G4" s="5">
        <f>COUNTIFS(TestCases!$C$2:$C$300,A4,TestCases!$J$2:$J$300,"Pass")</f>
        <v>1</v>
      </c>
      <c r="H4" s="5">
        <f>COUNTIFS(TestCases!$C$2:$C$300,A4,TestCases!$J$2:$J$300,"Fail")</f>
        <v>0</v>
      </c>
      <c r="I4" s="5" t="str">
        <f t="shared" si="0"/>
        <v>Covered</v>
      </c>
    </row>
    <row r="5" spans="1:9" ht="24.75" customHeight="1" x14ac:dyDescent="0.3">
      <c r="A5" s="5" t="s">
        <v>43</v>
      </c>
      <c r="B5" s="2" t="s">
        <v>33</v>
      </c>
      <c r="C5" s="2" t="s">
        <v>44</v>
      </c>
      <c r="D5" s="5" t="s">
        <v>35</v>
      </c>
      <c r="E5" s="2" t="s">
        <v>45</v>
      </c>
      <c r="F5" s="5">
        <f>COUNTIF(TestCases!$C$2:$C$300,A5)</f>
        <v>4</v>
      </c>
      <c r="G5" s="5">
        <f>COUNTIFS(TestCases!$C$2:$C$300,A5,TestCases!$J$2:$J$300,"Pass")</f>
        <v>4</v>
      </c>
      <c r="H5" s="5">
        <f>COUNTIFS(TestCases!$C$2:$C$300,A5,TestCases!$J$2:$J$300,"Fail")</f>
        <v>0</v>
      </c>
      <c r="I5" s="5" t="str">
        <f t="shared" si="0"/>
        <v>Covered</v>
      </c>
    </row>
    <row r="6" spans="1:9" ht="24.75" customHeight="1" x14ac:dyDescent="0.3">
      <c r="A6" s="5" t="s">
        <v>46</v>
      </c>
      <c r="B6" s="2" t="s">
        <v>33</v>
      </c>
      <c r="C6" s="2" t="s">
        <v>47</v>
      </c>
      <c r="D6" s="5" t="s">
        <v>35</v>
      </c>
      <c r="E6" s="2" t="s">
        <v>48</v>
      </c>
      <c r="F6" s="5">
        <f>COUNTIF(TestCases!$C$2:$C$300,A6)</f>
        <v>3</v>
      </c>
      <c r="G6" s="5">
        <f>COUNTIFS(TestCases!$C$2:$C$300,A6,TestCases!$J$2:$J$300,"Pass")</f>
        <v>2</v>
      </c>
      <c r="H6" s="5">
        <f>COUNTIFS(TestCases!$C$2:$C$300,A6,TestCases!$J$2:$J$300,"Fail")</f>
        <v>1</v>
      </c>
      <c r="I6" s="5" t="str">
        <f t="shared" si="0"/>
        <v>Covered</v>
      </c>
    </row>
    <row r="7" spans="1:9" ht="24.75" customHeight="1" x14ac:dyDescent="0.3">
      <c r="A7" s="5" t="s">
        <v>49</v>
      </c>
      <c r="B7" s="2" t="s">
        <v>50</v>
      </c>
      <c r="C7" s="2" t="s">
        <v>51</v>
      </c>
      <c r="D7" s="5" t="s">
        <v>35</v>
      </c>
      <c r="E7" s="2" t="s">
        <v>52</v>
      </c>
      <c r="F7" s="5">
        <f>COUNTIF(TestCases!$C$2:$C$300,A7)</f>
        <v>3</v>
      </c>
      <c r="G7" s="5">
        <f>COUNTIFS(TestCases!$C$2:$C$300,A7,TestCases!$J$2:$J$300,"Pass")</f>
        <v>3</v>
      </c>
      <c r="H7" s="5">
        <f>COUNTIFS(TestCases!$C$2:$C$300,A7,TestCases!$J$2:$J$300,"Fail")</f>
        <v>0</v>
      </c>
      <c r="I7" s="5" t="str">
        <f t="shared" si="0"/>
        <v>Covered</v>
      </c>
    </row>
    <row r="8" spans="1:9" ht="24.75" customHeight="1" x14ac:dyDescent="0.3">
      <c r="A8" s="5" t="s">
        <v>53</v>
      </c>
      <c r="B8" s="2" t="s">
        <v>50</v>
      </c>
      <c r="C8" s="2" t="s">
        <v>54</v>
      </c>
      <c r="D8" s="5" t="s">
        <v>35</v>
      </c>
      <c r="E8" s="2" t="s">
        <v>55</v>
      </c>
      <c r="F8" s="5">
        <f>COUNTIF(TestCases!$C$2:$C$300,A8)</f>
        <v>3</v>
      </c>
      <c r="G8" s="5">
        <f>COUNTIFS(TestCases!$C$2:$C$300,A8,TestCases!$J$2:$J$300,"Pass")</f>
        <v>2</v>
      </c>
      <c r="H8" s="5">
        <f>COUNTIFS(TestCases!$C$2:$C$300,A8,TestCases!$J$2:$J$300,"Fail")</f>
        <v>0</v>
      </c>
      <c r="I8" s="5" t="str">
        <f t="shared" si="0"/>
        <v>Covered</v>
      </c>
    </row>
    <row r="9" spans="1:9" x14ac:dyDescent="0.3">
      <c r="A9" s="5" t="s">
        <v>56</v>
      </c>
      <c r="B9" s="2" t="s">
        <v>50</v>
      </c>
      <c r="C9" s="2" t="s">
        <v>57</v>
      </c>
      <c r="D9" s="5" t="s">
        <v>58</v>
      </c>
      <c r="E9" s="2" t="s">
        <v>59</v>
      </c>
      <c r="F9" s="5">
        <f>COUNTIF(TestCases!$C$2:$C$300,A9)</f>
        <v>1</v>
      </c>
      <c r="G9" s="5">
        <f>COUNTIFS(TestCases!$C$2:$C$300,A9,TestCases!$J$2:$J$300,"Pass")</f>
        <v>1</v>
      </c>
      <c r="H9" s="5">
        <f>COUNTIFS(TestCases!$C$2:$C$300,A9,TestCases!$J$2:$J$300,"Fail")</f>
        <v>0</v>
      </c>
      <c r="I9" s="5" t="str">
        <f t="shared" si="0"/>
        <v>Covered</v>
      </c>
    </row>
    <row r="10" spans="1:9" x14ac:dyDescent="0.3">
      <c r="A10" s="5" t="s">
        <v>60</v>
      </c>
      <c r="B10" s="2" t="s">
        <v>50</v>
      </c>
      <c r="C10" s="2" t="s">
        <v>61</v>
      </c>
      <c r="D10" s="5" t="s">
        <v>58</v>
      </c>
      <c r="E10" s="2" t="s">
        <v>62</v>
      </c>
      <c r="F10" s="5">
        <f>COUNTIF(TestCases!$C$2:$C$300,A10)</f>
        <v>1</v>
      </c>
      <c r="G10" s="5">
        <f>COUNTIFS(TestCases!$C$2:$C$300,A10,TestCases!$J$2:$J$300,"Pass")</f>
        <v>1</v>
      </c>
      <c r="H10" s="5">
        <f>COUNTIFS(TestCases!$C$2:$C$300,A10,TestCases!$J$2:$J$300,"Fail")</f>
        <v>0</v>
      </c>
      <c r="I10" s="5" t="str">
        <f t="shared" si="0"/>
        <v>Covered</v>
      </c>
    </row>
    <row r="11" spans="1:9" ht="24.75" customHeight="1" x14ac:dyDescent="0.3">
      <c r="A11" s="5" t="s">
        <v>63</v>
      </c>
      <c r="B11" s="2" t="s">
        <v>50</v>
      </c>
      <c r="C11" s="2" t="s">
        <v>64</v>
      </c>
      <c r="D11" s="5" t="s">
        <v>35</v>
      </c>
      <c r="E11" s="2" t="s">
        <v>65</v>
      </c>
      <c r="F11" s="5">
        <f>COUNTIF(TestCases!$C$2:$C$300,A11)</f>
        <v>2</v>
      </c>
      <c r="G11" s="5">
        <f>COUNTIFS(TestCases!$C$2:$C$300,A11,TestCases!$J$2:$J$300,"Pass")</f>
        <v>2</v>
      </c>
      <c r="H11" s="5">
        <f>COUNTIFS(TestCases!$C$2:$C$300,A11,TestCases!$J$2:$J$300,"Fail")</f>
        <v>0</v>
      </c>
      <c r="I11" s="5" t="str">
        <f t="shared" si="0"/>
        <v>Covered</v>
      </c>
    </row>
    <row r="12" spans="1:9" x14ac:dyDescent="0.3">
      <c r="A12" s="5" t="s">
        <v>66</v>
      </c>
      <c r="B12" s="2" t="s">
        <v>50</v>
      </c>
      <c r="C12" s="2" t="s">
        <v>67</v>
      </c>
      <c r="D12" s="5" t="s">
        <v>58</v>
      </c>
      <c r="E12" s="2" t="s">
        <v>68</v>
      </c>
      <c r="F12" s="5">
        <f>COUNTIF(TestCases!$C$2:$C$300,A12)</f>
        <v>1</v>
      </c>
      <c r="G12" s="5">
        <f>COUNTIFS(TestCases!$C$2:$C$300,A12,TestCases!$J$2:$J$300,"Pass")</f>
        <v>1</v>
      </c>
      <c r="H12" s="5">
        <f>COUNTIFS(TestCases!$C$2:$C$300,A12,TestCases!$J$2:$J$300,"Fail")</f>
        <v>0</v>
      </c>
      <c r="I12" s="5" t="str">
        <f t="shared" si="0"/>
        <v>Covered</v>
      </c>
    </row>
    <row r="13" spans="1:9" x14ac:dyDescent="0.3">
      <c r="A13" s="5" t="s">
        <v>69</v>
      </c>
      <c r="B13" s="2" t="s">
        <v>50</v>
      </c>
      <c r="C13" s="2" t="s">
        <v>70</v>
      </c>
      <c r="D13" s="5" t="s">
        <v>35</v>
      </c>
      <c r="E13" s="2" t="s">
        <v>71</v>
      </c>
      <c r="F13" s="5">
        <f>COUNTIF(TestCases!$C$2:$C$300,A13)</f>
        <v>1</v>
      </c>
      <c r="G13" s="5">
        <f>COUNTIFS(TestCases!$C$2:$C$300,A13,TestCases!$J$2:$J$300,"Pass")</f>
        <v>1</v>
      </c>
      <c r="H13" s="5">
        <f>COUNTIFS(TestCases!$C$2:$C$300,A13,TestCases!$J$2:$J$300,"Fail")</f>
        <v>0</v>
      </c>
      <c r="I13" s="5" t="str">
        <f t="shared" si="0"/>
        <v>Covered</v>
      </c>
    </row>
    <row r="14" spans="1:9" x14ac:dyDescent="0.3">
      <c r="A14" s="5" t="s">
        <v>72</v>
      </c>
      <c r="B14" s="2" t="s">
        <v>73</v>
      </c>
      <c r="C14" s="2" t="s">
        <v>74</v>
      </c>
      <c r="D14" s="5" t="s">
        <v>35</v>
      </c>
      <c r="E14" s="2" t="s">
        <v>75</v>
      </c>
      <c r="F14" s="5">
        <f>COUNTIF(TestCases!$C$2:$C$300,A14)</f>
        <v>3</v>
      </c>
      <c r="G14" s="5">
        <f>COUNTIFS(TestCases!$C$2:$C$300,A14,TestCases!$J$2:$J$300,"Pass")</f>
        <v>3</v>
      </c>
      <c r="H14" s="5">
        <f>COUNTIFS(TestCases!$C$2:$C$300,A14,TestCases!$J$2:$J$300,"Fail")</f>
        <v>0</v>
      </c>
      <c r="I14" s="5" t="str">
        <f t="shared" si="0"/>
        <v>Covered</v>
      </c>
    </row>
    <row r="15" spans="1:9" ht="24.75" customHeight="1" x14ac:dyDescent="0.3">
      <c r="A15" s="5" t="s">
        <v>76</v>
      </c>
      <c r="B15" s="2" t="s">
        <v>73</v>
      </c>
      <c r="C15" s="2" t="s">
        <v>77</v>
      </c>
      <c r="D15" s="5" t="s">
        <v>58</v>
      </c>
      <c r="E15" s="2" t="s">
        <v>78</v>
      </c>
      <c r="F15" s="5">
        <f>COUNTIF(TestCases!$C$2:$C$300,A15)</f>
        <v>3</v>
      </c>
      <c r="G15" s="5">
        <f>COUNTIFS(TestCases!$C$2:$C$300,A15,TestCases!$J$2:$J$300,"Pass")</f>
        <v>3</v>
      </c>
      <c r="H15" s="5">
        <f>COUNTIFS(TestCases!$C$2:$C$300,A15,TestCases!$J$2:$J$300,"Fail")</f>
        <v>0</v>
      </c>
      <c r="I15" s="5" t="str">
        <f t="shared" si="0"/>
        <v>Covered</v>
      </c>
    </row>
    <row r="16" spans="1:9" ht="24.75" customHeight="1" x14ac:dyDescent="0.3">
      <c r="A16" s="5" t="s">
        <v>79</v>
      </c>
      <c r="B16" s="2" t="s">
        <v>73</v>
      </c>
      <c r="C16" s="2" t="s">
        <v>80</v>
      </c>
      <c r="D16" s="5" t="s">
        <v>58</v>
      </c>
      <c r="E16" s="2" t="s">
        <v>81</v>
      </c>
      <c r="F16" s="5">
        <f>COUNTIF(TestCases!$C$2:$C$300,A16)</f>
        <v>1</v>
      </c>
      <c r="G16" s="5">
        <f>COUNTIFS(TestCases!$C$2:$C$300,A16,TestCases!$J$2:$J$300,"Pass")</f>
        <v>1</v>
      </c>
      <c r="H16" s="5">
        <f>COUNTIFS(TestCases!$C$2:$C$300,A16,TestCases!$J$2:$J$300,"Fail")</f>
        <v>0</v>
      </c>
      <c r="I16" s="5" t="str">
        <f t="shared" si="0"/>
        <v>Covered</v>
      </c>
    </row>
    <row r="17" spans="1:9" x14ac:dyDescent="0.3">
      <c r="A17" s="5" t="s">
        <v>82</v>
      </c>
      <c r="B17" s="2" t="s">
        <v>73</v>
      </c>
      <c r="C17" s="2" t="s">
        <v>83</v>
      </c>
      <c r="D17" s="5" t="s">
        <v>58</v>
      </c>
      <c r="E17" s="2" t="s">
        <v>84</v>
      </c>
      <c r="F17" s="5">
        <f>COUNTIF(TestCases!$C$2:$C$300,A17)</f>
        <v>1</v>
      </c>
      <c r="G17" s="5">
        <f>COUNTIFS(TestCases!$C$2:$C$300,A17,TestCases!$J$2:$J$300,"Pass")</f>
        <v>1</v>
      </c>
      <c r="H17" s="5">
        <f>COUNTIFS(TestCases!$C$2:$C$300,A17,TestCases!$J$2:$J$300,"Fail")</f>
        <v>0</v>
      </c>
      <c r="I17" s="5" t="str">
        <f t="shared" si="0"/>
        <v>Covered</v>
      </c>
    </row>
    <row r="18" spans="1:9" x14ac:dyDescent="0.3">
      <c r="A18" s="5" t="s">
        <v>85</v>
      </c>
      <c r="B18" s="2" t="s">
        <v>73</v>
      </c>
      <c r="C18" s="2" t="s">
        <v>86</v>
      </c>
      <c r="D18" s="5" t="s">
        <v>58</v>
      </c>
      <c r="E18" s="2" t="s">
        <v>87</v>
      </c>
      <c r="F18" s="5">
        <f>COUNTIF(TestCases!$C$2:$C$300,A18)</f>
        <v>1</v>
      </c>
      <c r="G18" s="5">
        <f>COUNTIFS(TestCases!$C$2:$C$300,A18,TestCases!$J$2:$J$300,"Pass")</f>
        <v>1</v>
      </c>
      <c r="H18" s="5">
        <f>COUNTIFS(TestCases!$C$2:$C$300,A18,TestCases!$J$2:$J$300,"Fail")</f>
        <v>0</v>
      </c>
      <c r="I18" s="5" t="str">
        <f t="shared" si="0"/>
        <v>Covered</v>
      </c>
    </row>
    <row r="19" spans="1:9" x14ac:dyDescent="0.3">
      <c r="A19" s="5" t="s">
        <v>88</v>
      </c>
      <c r="B19" s="2" t="s">
        <v>73</v>
      </c>
      <c r="C19" s="2" t="s">
        <v>89</v>
      </c>
      <c r="D19" s="5" t="s">
        <v>58</v>
      </c>
      <c r="E19" s="2" t="s">
        <v>90</v>
      </c>
      <c r="F19" s="5">
        <f>COUNTIF(TestCases!$C$2:$C$300,A19)</f>
        <v>2</v>
      </c>
      <c r="G19" s="5">
        <f>COUNTIFS(TestCases!$C$2:$C$300,A19,TestCases!$J$2:$J$300,"Pass")</f>
        <v>1</v>
      </c>
      <c r="H19" s="5">
        <f>COUNTIFS(TestCases!$C$2:$C$300,A19,TestCases!$J$2:$J$300,"Fail")</f>
        <v>1</v>
      </c>
      <c r="I19" s="5" t="str">
        <f t="shared" si="0"/>
        <v>Covered</v>
      </c>
    </row>
    <row r="20" spans="1:9" ht="24.75" customHeight="1" x14ac:dyDescent="0.3">
      <c r="A20" s="5" t="s">
        <v>91</v>
      </c>
      <c r="B20" s="2" t="s">
        <v>73</v>
      </c>
      <c r="C20" s="2" t="s">
        <v>92</v>
      </c>
      <c r="D20" s="5" t="s">
        <v>35</v>
      </c>
      <c r="E20" s="2" t="s">
        <v>93</v>
      </c>
      <c r="F20" s="5">
        <f>COUNTIF(TestCases!$C$2:$C$300,A20)</f>
        <v>5</v>
      </c>
      <c r="G20" s="5">
        <f>COUNTIFS(TestCases!$C$2:$C$300,A20,TestCases!$J$2:$J$300,"Pass")</f>
        <v>2</v>
      </c>
      <c r="H20" s="5">
        <f>COUNTIFS(TestCases!$C$2:$C$300,A20,TestCases!$J$2:$J$300,"Fail")</f>
        <v>3</v>
      </c>
      <c r="I20" s="5" t="str">
        <f t="shared" si="0"/>
        <v>Covered</v>
      </c>
    </row>
    <row r="21" spans="1:9" ht="24.75" customHeight="1" x14ac:dyDescent="0.3">
      <c r="A21" s="5" t="s">
        <v>94</v>
      </c>
      <c r="B21" s="2" t="s">
        <v>95</v>
      </c>
      <c r="C21" s="2" t="s">
        <v>96</v>
      </c>
      <c r="D21" s="5" t="s">
        <v>35</v>
      </c>
      <c r="E21" s="2" t="s">
        <v>97</v>
      </c>
      <c r="F21" s="5">
        <f>COUNTIF(TestCases!$C$2:$C$300,A21)</f>
        <v>3</v>
      </c>
      <c r="G21" s="5">
        <f>COUNTIFS(TestCases!$C$2:$C$300,A21,TestCases!$J$2:$J$300,"Pass")</f>
        <v>3</v>
      </c>
      <c r="H21" s="5">
        <f>COUNTIFS(TestCases!$C$2:$C$300,A21,TestCases!$J$2:$J$300,"Fail")</f>
        <v>0</v>
      </c>
      <c r="I21" s="5" t="str">
        <f t="shared" si="0"/>
        <v>Covered</v>
      </c>
    </row>
    <row r="22" spans="1:9" ht="24.75" customHeight="1" x14ac:dyDescent="0.3">
      <c r="A22" s="5" t="s">
        <v>98</v>
      </c>
      <c r="B22" s="2" t="s">
        <v>95</v>
      </c>
      <c r="C22" s="2" t="s">
        <v>99</v>
      </c>
      <c r="D22" s="5" t="s">
        <v>35</v>
      </c>
      <c r="E22" s="2" t="s">
        <v>100</v>
      </c>
      <c r="F22" s="5">
        <f>COUNTIF(TestCases!$C$2:$C$300,A22)</f>
        <v>3</v>
      </c>
      <c r="G22" s="5">
        <f>COUNTIFS(TestCases!$C$2:$C$300,A22,TestCases!$J$2:$J$300,"Pass")</f>
        <v>2</v>
      </c>
      <c r="H22" s="5">
        <f>COUNTIFS(TestCases!$C$2:$C$300,A22,TestCases!$J$2:$J$300,"Fail")</f>
        <v>1</v>
      </c>
      <c r="I22" s="5" t="str">
        <f t="shared" si="0"/>
        <v>Covered</v>
      </c>
    </row>
    <row r="23" spans="1:9" x14ac:dyDescent="0.3">
      <c r="A23" s="5" t="s">
        <v>101</v>
      </c>
      <c r="B23" s="2" t="s">
        <v>95</v>
      </c>
      <c r="C23" s="2" t="s">
        <v>102</v>
      </c>
      <c r="D23" s="5" t="s">
        <v>103</v>
      </c>
      <c r="E23" s="2" t="s">
        <v>104</v>
      </c>
      <c r="F23" s="5">
        <f>COUNTIF(TestCases!$C$2:$C$300,A23)</f>
        <v>1</v>
      </c>
      <c r="G23" s="5">
        <f>COUNTIFS(TestCases!$C$2:$C$300,A23,TestCases!$J$2:$J$300,"Pass")</f>
        <v>1</v>
      </c>
      <c r="H23" s="5">
        <f>COUNTIFS(TestCases!$C$2:$C$300,A23,TestCases!$J$2:$J$300,"Fail")</f>
        <v>0</v>
      </c>
      <c r="I23" s="5" t="str">
        <f t="shared" si="0"/>
        <v>Covered</v>
      </c>
    </row>
    <row r="24" spans="1:9" x14ac:dyDescent="0.3">
      <c r="A24" s="5" t="s">
        <v>105</v>
      </c>
      <c r="B24" s="2" t="s">
        <v>95</v>
      </c>
      <c r="C24" s="2" t="s">
        <v>106</v>
      </c>
      <c r="D24" s="5" t="s">
        <v>35</v>
      </c>
      <c r="E24" s="2" t="s">
        <v>107</v>
      </c>
      <c r="F24" s="5">
        <f>COUNTIF(TestCases!$C$2:$C$300,A24)</f>
        <v>2</v>
      </c>
      <c r="G24" s="5">
        <f>COUNTIFS(TestCases!$C$2:$C$300,A24,TestCases!$J$2:$J$300,"Pass")</f>
        <v>1</v>
      </c>
      <c r="H24" s="5">
        <f>COUNTIFS(TestCases!$C$2:$C$300,A24,TestCases!$J$2:$J$300,"Fail")</f>
        <v>1</v>
      </c>
      <c r="I24" s="5" t="str">
        <f t="shared" si="0"/>
        <v>Covered</v>
      </c>
    </row>
    <row r="25" spans="1:9" x14ac:dyDescent="0.3">
      <c r="A25" s="5" t="s">
        <v>108</v>
      </c>
      <c r="B25" s="2" t="s">
        <v>95</v>
      </c>
      <c r="C25" s="2" t="s">
        <v>109</v>
      </c>
      <c r="D25" s="5" t="s">
        <v>58</v>
      </c>
      <c r="E25" s="2" t="s">
        <v>110</v>
      </c>
      <c r="F25" s="5">
        <f>COUNTIF(TestCases!$C$2:$C$300,A25)</f>
        <v>1</v>
      </c>
      <c r="G25" s="5">
        <f>COUNTIFS(TestCases!$C$2:$C$300,A25,TestCases!$J$2:$J$300,"Pass")</f>
        <v>1</v>
      </c>
      <c r="H25" s="5">
        <f>COUNTIFS(TestCases!$C$2:$C$300,A25,TestCases!$J$2:$J$300,"Fail")</f>
        <v>0</v>
      </c>
      <c r="I25" s="5" t="str">
        <f t="shared" si="0"/>
        <v>Covered</v>
      </c>
    </row>
    <row r="26" spans="1:9" x14ac:dyDescent="0.3">
      <c r="A26" s="5" t="s">
        <v>111</v>
      </c>
      <c r="B26" s="2" t="s">
        <v>95</v>
      </c>
      <c r="C26" s="2" t="s">
        <v>112</v>
      </c>
      <c r="D26" s="5" t="s">
        <v>58</v>
      </c>
      <c r="E26" s="2" t="s">
        <v>113</v>
      </c>
      <c r="F26" s="5">
        <f>COUNTIF(TestCases!$C$2:$C$300,A26)</f>
        <v>1</v>
      </c>
      <c r="G26" s="5">
        <f>COUNTIFS(TestCases!$C$2:$C$300,A26,TestCases!$J$2:$J$300,"Pass")</f>
        <v>1</v>
      </c>
      <c r="H26" s="5">
        <f>COUNTIFS(TestCases!$C$2:$C$300,A26,TestCases!$J$2:$J$300,"Fail")</f>
        <v>0</v>
      </c>
      <c r="I26" s="5" t="str">
        <f t="shared" si="0"/>
        <v>Covered</v>
      </c>
    </row>
    <row r="27" spans="1:9" ht="24.75" customHeight="1" x14ac:dyDescent="0.3">
      <c r="A27" s="5" t="s">
        <v>114</v>
      </c>
      <c r="B27" s="2" t="s">
        <v>115</v>
      </c>
      <c r="C27" s="2" t="s">
        <v>116</v>
      </c>
      <c r="D27" s="5" t="s">
        <v>35</v>
      </c>
      <c r="E27" s="2" t="s">
        <v>117</v>
      </c>
      <c r="F27" s="5">
        <f>COUNTIF(TestCases!$C$2:$C$300,A27)</f>
        <v>1</v>
      </c>
      <c r="G27" s="5">
        <f>COUNTIFS(TestCases!$C$2:$C$300,A27,TestCases!$J$2:$J$300,"Pass")</f>
        <v>1</v>
      </c>
      <c r="H27" s="5">
        <f>COUNTIFS(TestCases!$C$2:$C$300,A27,TestCases!$J$2:$J$300,"Fail")</f>
        <v>0</v>
      </c>
      <c r="I27" s="5" t="str">
        <f t="shared" si="0"/>
        <v>Covered</v>
      </c>
    </row>
    <row r="28" spans="1:9" ht="24.75" customHeight="1" x14ac:dyDescent="0.3">
      <c r="A28" s="5" t="s">
        <v>118</v>
      </c>
      <c r="B28" s="2" t="s">
        <v>115</v>
      </c>
      <c r="C28" s="2" t="s">
        <v>119</v>
      </c>
      <c r="D28" s="5" t="s">
        <v>35</v>
      </c>
      <c r="E28" s="2" t="s">
        <v>120</v>
      </c>
      <c r="F28" s="5">
        <f>COUNTIF(TestCases!$C$2:$C$300,A28)</f>
        <v>5</v>
      </c>
      <c r="G28" s="5">
        <f>COUNTIFS(TestCases!$C$2:$C$300,A28,TestCases!$J$2:$J$300,"Pass")</f>
        <v>5</v>
      </c>
      <c r="H28" s="5">
        <f>COUNTIFS(TestCases!$C$2:$C$300,A28,TestCases!$J$2:$J$300,"Fail")</f>
        <v>0</v>
      </c>
      <c r="I28" s="5" t="str">
        <f t="shared" si="0"/>
        <v>Covered</v>
      </c>
    </row>
    <row r="29" spans="1:9" ht="24.75" customHeight="1" x14ac:dyDescent="0.3">
      <c r="A29" s="5" t="s">
        <v>121</v>
      </c>
      <c r="B29" s="2" t="s">
        <v>115</v>
      </c>
      <c r="C29" s="2" t="s">
        <v>122</v>
      </c>
      <c r="D29" s="5" t="s">
        <v>35</v>
      </c>
      <c r="E29" s="2" t="s">
        <v>123</v>
      </c>
      <c r="F29" s="5">
        <f>COUNTIF(TestCases!$C$2:$C$300,A29)</f>
        <v>1</v>
      </c>
      <c r="G29" s="5">
        <f>COUNTIFS(TestCases!$C$2:$C$300,A29,TestCases!$J$2:$J$300,"Pass")</f>
        <v>1</v>
      </c>
      <c r="H29" s="5">
        <f>COUNTIFS(TestCases!$C$2:$C$300,A29,TestCases!$J$2:$J$300,"Fail")</f>
        <v>0</v>
      </c>
      <c r="I29" s="5" t="str">
        <f t="shared" si="0"/>
        <v>Covered</v>
      </c>
    </row>
    <row r="30" spans="1:9" x14ac:dyDescent="0.3">
      <c r="A30" s="5" t="s">
        <v>124</v>
      </c>
      <c r="B30" s="2" t="s">
        <v>115</v>
      </c>
      <c r="C30" s="2" t="s">
        <v>125</v>
      </c>
      <c r="D30" s="5" t="s">
        <v>35</v>
      </c>
      <c r="E30" s="2" t="s">
        <v>126</v>
      </c>
      <c r="F30" s="5">
        <f>COUNTIF(TestCases!$C$2:$C$300,A30)</f>
        <v>1</v>
      </c>
      <c r="G30" s="5">
        <f>COUNTIFS(TestCases!$C$2:$C$300,A30,TestCases!$J$2:$J$300,"Pass")</f>
        <v>1</v>
      </c>
      <c r="H30" s="5">
        <f>COUNTIFS(TestCases!$C$2:$C$300,A30,TestCases!$J$2:$J$300,"Fail")</f>
        <v>0</v>
      </c>
      <c r="I30" s="5" t="str">
        <f t="shared" si="0"/>
        <v>Covered</v>
      </c>
    </row>
    <row r="31" spans="1:9" x14ac:dyDescent="0.3">
      <c r="A31" s="5" t="s">
        <v>127</v>
      </c>
      <c r="B31" s="2" t="s">
        <v>115</v>
      </c>
      <c r="C31" s="2" t="s">
        <v>128</v>
      </c>
      <c r="D31" s="5" t="s">
        <v>58</v>
      </c>
      <c r="E31" s="2" t="s">
        <v>129</v>
      </c>
      <c r="F31" s="5">
        <f>COUNTIF(TestCases!$C$2:$C$300,A31)</f>
        <v>1</v>
      </c>
      <c r="G31" s="5">
        <f>COUNTIFS(TestCases!$C$2:$C$300,A31,TestCases!$J$2:$J$300,"Pass")</f>
        <v>1</v>
      </c>
      <c r="H31" s="5">
        <f>COUNTIFS(TestCases!$C$2:$C$300,A31,TestCases!$J$2:$J$300,"Fail")</f>
        <v>0</v>
      </c>
      <c r="I31" s="5" t="str">
        <f t="shared" si="0"/>
        <v>Covered</v>
      </c>
    </row>
    <row r="32" spans="1:9" x14ac:dyDescent="0.3">
      <c r="A32" s="5" t="s">
        <v>130</v>
      </c>
      <c r="B32" s="2" t="s">
        <v>131</v>
      </c>
      <c r="C32" s="2" t="s">
        <v>132</v>
      </c>
      <c r="D32" s="5" t="s">
        <v>35</v>
      </c>
      <c r="E32" s="2" t="s">
        <v>133</v>
      </c>
      <c r="F32" s="5">
        <f>COUNTIF(TestCases!$C$2:$C$300,A32)</f>
        <v>1</v>
      </c>
      <c r="G32" s="5">
        <f>COUNTIFS(TestCases!$C$2:$C$300,A32,TestCases!$J$2:$J$300,"Pass")</f>
        <v>1</v>
      </c>
      <c r="H32" s="5">
        <f>COUNTIFS(TestCases!$C$2:$C$300,A32,TestCases!$J$2:$J$300,"Fail")</f>
        <v>0</v>
      </c>
      <c r="I32" s="5" t="str">
        <f t="shared" si="0"/>
        <v>Covered</v>
      </c>
    </row>
    <row r="33" spans="1:9" x14ac:dyDescent="0.3">
      <c r="A33" s="5" t="s">
        <v>134</v>
      </c>
      <c r="B33" s="2" t="s">
        <v>131</v>
      </c>
      <c r="C33" s="2" t="s">
        <v>135</v>
      </c>
      <c r="D33" s="5" t="s">
        <v>35</v>
      </c>
      <c r="E33" s="2" t="s">
        <v>136</v>
      </c>
      <c r="F33" s="5">
        <f>COUNTIF(TestCases!$C$2:$C$300,A33)</f>
        <v>1</v>
      </c>
      <c r="G33" s="5">
        <f>COUNTIFS(TestCases!$C$2:$C$300,A33,TestCases!$J$2:$J$300,"Pass")</f>
        <v>1</v>
      </c>
      <c r="H33" s="5">
        <f>COUNTIFS(TestCases!$C$2:$C$300,A33,TestCases!$J$2:$J$300,"Fail")</f>
        <v>0</v>
      </c>
      <c r="I33" s="5" t="str">
        <f t="shared" si="0"/>
        <v>Covered</v>
      </c>
    </row>
    <row r="34" spans="1:9" x14ac:dyDescent="0.3">
      <c r="A34" s="5" t="s">
        <v>137</v>
      </c>
      <c r="B34" s="2" t="s">
        <v>131</v>
      </c>
      <c r="C34" s="2" t="s">
        <v>138</v>
      </c>
      <c r="D34" s="5" t="s">
        <v>58</v>
      </c>
      <c r="E34" s="2" t="s">
        <v>139</v>
      </c>
      <c r="F34" s="5">
        <f>COUNTIF(TestCases!$C$2:$C$300,A34)</f>
        <v>1</v>
      </c>
      <c r="G34" s="5">
        <f>COUNTIFS(TestCases!$C$2:$C$300,A34,TestCases!$J$2:$J$300,"Pass")</f>
        <v>1</v>
      </c>
      <c r="H34" s="5">
        <f>COUNTIFS(TestCases!$C$2:$C$300,A34,TestCases!$J$2:$J$300,"Fail")</f>
        <v>0</v>
      </c>
      <c r="I34" s="5" t="str">
        <f t="shared" si="0"/>
        <v>Covered</v>
      </c>
    </row>
    <row r="35" spans="1:9" x14ac:dyDescent="0.3">
      <c r="A35" s="5" t="s">
        <v>140</v>
      </c>
      <c r="B35" s="2" t="s">
        <v>131</v>
      </c>
      <c r="C35" s="2" t="s">
        <v>141</v>
      </c>
      <c r="D35" s="5" t="s">
        <v>35</v>
      </c>
      <c r="E35" s="2" t="s">
        <v>142</v>
      </c>
      <c r="F35" s="5">
        <f>COUNTIF(TestCases!$C$2:$C$300,A35)</f>
        <v>2</v>
      </c>
      <c r="G35" s="5">
        <f>COUNTIFS(TestCases!$C$2:$C$300,A35,TestCases!$J$2:$J$300,"Pass")</f>
        <v>2</v>
      </c>
      <c r="H35" s="5">
        <f>COUNTIFS(TestCases!$C$2:$C$300,A35,TestCases!$J$2:$J$300,"Fail")</f>
        <v>0</v>
      </c>
      <c r="I35" s="5" t="str">
        <f t="shared" si="0"/>
        <v>Covered</v>
      </c>
    </row>
    <row r="36" spans="1:9" x14ac:dyDescent="0.3">
      <c r="A36" s="5" t="s">
        <v>143</v>
      </c>
      <c r="B36" s="2" t="s">
        <v>131</v>
      </c>
      <c r="C36" s="2" t="s">
        <v>144</v>
      </c>
      <c r="D36" s="5" t="s">
        <v>35</v>
      </c>
      <c r="E36" s="2" t="s">
        <v>145</v>
      </c>
      <c r="F36" s="5">
        <f>COUNTIF(TestCases!$C$2:$C$300,A36)</f>
        <v>2</v>
      </c>
      <c r="G36" s="5">
        <f>COUNTIFS(TestCases!$C$2:$C$300,A36,TestCases!$J$2:$J$300,"Pass")</f>
        <v>2</v>
      </c>
      <c r="H36" s="5">
        <f>COUNTIFS(TestCases!$C$2:$C$300,A36,TestCases!$J$2:$J$300,"Fail")</f>
        <v>0</v>
      </c>
      <c r="I36" s="5" t="str">
        <f t="shared" si="0"/>
        <v>Covered</v>
      </c>
    </row>
    <row r="38" spans="1:9" x14ac:dyDescent="0.3">
      <c r="A38" s="6"/>
    </row>
  </sheetData>
  <autoFilter ref="A1:I3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8"/>
  <sheetViews>
    <sheetView zoomScaleNormal="100" workbookViewId="0">
      <pane xSplit="4" ySplit="1" topLeftCell="AR2" activePane="bottomRight" state="frozen"/>
      <selection pane="topRight" activeCell="J1" sqref="J1"/>
      <selection pane="bottomLeft" activeCell="A31" sqref="A31"/>
      <selection pane="bottomRight" activeCell="O72" sqref="O72"/>
    </sheetView>
  </sheetViews>
  <sheetFormatPr defaultColWidth="8.6640625" defaultRowHeight="15.05" x14ac:dyDescent="0.3"/>
  <cols>
    <col min="1" max="1" width="11" customWidth="1"/>
    <col min="2" max="2" width="22" customWidth="1"/>
    <col min="3" max="3" width="12" customWidth="1"/>
    <col min="4" max="4" width="34" customWidth="1"/>
    <col min="5" max="5" width="30" customWidth="1"/>
    <col min="6" max="6" width="48" customWidth="1"/>
    <col min="7" max="7" width="34" customWidth="1"/>
    <col min="8" max="8" width="44" customWidth="1"/>
    <col min="9" max="9" width="30" customWidth="1"/>
    <col min="10" max="10" width="13" customWidth="1"/>
    <col min="11" max="12" width="10" customWidth="1"/>
    <col min="13" max="13" width="11" customWidth="1"/>
    <col min="14" max="14" width="12" customWidth="1"/>
    <col min="15" max="15" width="14" customWidth="1"/>
  </cols>
  <sheetData>
    <row r="1" spans="1:15" ht="39" customHeight="1" x14ac:dyDescent="0.3">
      <c r="A1" s="1" t="s">
        <v>146</v>
      </c>
      <c r="B1" s="1" t="s">
        <v>24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4</v>
      </c>
      <c r="K1" s="1" t="s">
        <v>26</v>
      </c>
      <c r="L1" s="1" t="s">
        <v>154</v>
      </c>
      <c r="M1" s="1" t="s">
        <v>155</v>
      </c>
      <c r="N1" s="1" t="s">
        <v>156</v>
      </c>
      <c r="O1" s="1" t="s">
        <v>157</v>
      </c>
    </row>
    <row r="2" spans="1:15" ht="49.5" customHeight="1" x14ac:dyDescent="0.3">
      <c r="A2" s="5" t="s">
        <v>36</v>
      </c>
      <c r="B2" s="2" t="s">
        <v>33</v>
      </c>
      <c r="C2" s="5" t="s">
        <v>32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7" t="s">
        <v>163</v>
      </c>
      <c r="J2" s="8" t="s">
        <v>164</v>
      </c>
      <c r="K2" s="5" t="s">
        <v>35</v>
      </c>
      <c r="L2" s="5" t="s">
        <v>165</v>
      </c>
      <c r="M2" s="5" t="s">
        <v>166</v>
      </c>
      <c r="N2" s="8" t="s">
        <v>16</v>
      </c>
      <c r="O2" s="9">
        <v>46305</v>
      </c>
    </row>
    <row r="3" spans="1:15" ht="49.5" customHeight="1" x14ac:dyDescent="0.3">
      <c r="A3" s="5" t="s">
        <v>167</v>
      </c>
      <c r="B3" s="2" t="s">
        <v>33</v>
      </c>
      <c r="C3" s="5" t="s">
        <v>37</v>
      </c>
      <c r="D3" s="2" t="s">
        <v>168</v>
      </c>
      <c r="E3" s="2" t="s">
        <v>169</v>
      </c>
      <c r="F3" s="2" t="s">
        <v>170</v>
      </c>
      <c r="G3" s="2" t="s">
        <v>171</v>
      </c>
      <c r="H3" s="2" t="s">
        <v>172</v>
      </c>
      <c r="I3" s="7" t="s">
        <v>173</v>
      </c>
      <c r="J3" s="8" t="s">
        <v>164</v>
      </c>
      <c r="K3" s="5" t="s">
        <v>35</v>
      </c>
      <c r="L3" s="5" t="s">
        <v>174</v>
      </c>
      <c r="M3" s="5" t="s">
        <v>166</v>
      </c>
      <c r="N3" s="8" t="s">
        <v>16</v>
      </c>
      <c r="O3" s="9">
        <v>46305</v>
      </c>
    </row>
    <row r="4" spans="1:15" ht="37.6" customHeight="1" x14ac:dyDescent="0.3">
      <c r="A4" s="5" t="s">
        <v>175</v>
      </c>
      <c r="B4" s="2" t="s">
        <v>33</v>
      </c>
      <c r="C4" s="5" t="s">
        <v>37</v>
      </c>
      <c r="D4" s="2" t="s">
        <v>176</v>
      </c>
      <c r="E4" s="2" t="s">
        <v>169</v>
      </c>
      <c r="F4" s="2" t="s">
        <v>177</v>
      </c>
      <c r="G4" s="2" t="s">
        <v>178</v>
      </c>
      <c r="H4" s="2" t="s">
        <v>179</v>
      </c>
      <c r="I4" s="7" t="s">
        <v>180</v>
      </c>
      <c r="J4" s="8" t="s">
        <v>164</v>
      </c>
      <c r="K4" s="5" t="s">
        <v>58</v>
      </c>
      <c r="L4" s="5" t="s">
        <v>181</v>
      </c>
      <c r="M4" s="5" t="s">
        <v>182</v>
      </c>
      <c r="N4" s="8" t="s">
        <v>16</v>
      </c>
      <c r="O4" s="9">
        <v>46305</v>
      </c>
    </row>
    <row r="5" spans="1:15" ht="37.6" customHeight="1" x14ac:dyDescent="0.3">
      <c r="A5" s="5" t="s">
        <v>183</v>
      </c>
      <c r="B5" s="2" t="s">
        <v>33</v>
      </c>
      <c r="C5" s="5" t="s">
        <v>37</v>
      </c>
      <c r="D5" s="2" t="s">
        <v>184</v>
      </c>
      <c r="E5" s="2" t="s">
        <v>169</v>
      </c>
      <c r="F5" s="2" t="s">
        <v>185</v>
      </c>
      <c r="G5" s="2" t="s">
        <v>186</v>
      </c>
      <c r="H5" s="2" t="s">
        <v>187</v>
      </c>
      <c r="I5" s="7" t="s">
        <v>188</v>
      </c>
      <c r="J5" s="8" t="s">
        <v>164</v>
      </c>
      <c r="K5" s="5" t="s">
        <v>58</v>
      </c>
      <c r="L5" s="5" t="s">
        <v>181</v>
      </c>
      <c r="M5" s="5" t="s">
        <v>166</v>
      </c>
      <c r="N5" s="8" t="s">
        <v>16</v>
      </c>
      <c r="O5" s="9">
        <v>46305</v>
      </c>
    </row>
    <row r="6" spans="1:15" ht="37.6" customHeight="1" x14ac:dyDescent="0.3">
      <c r="A6" s="5" t="s">
        <v>42</v>
      </c>
      <c r="B6" s="2" t="s">
        <v>33</v>
      </c>
      <c r="C6" s="5" t="s">
        <v>40</v>
      </c>
      <c r="D6" s="2" t="s">
        <v>189</v>
      </c>
      <c r="E6" s="2" t="s">
        <v>190</v>
      </c>
      <c r="F6" s="2" t="s">
        <v>191</v>
      </c>
      <c r="G6" s="2" t="s">
        <v>192</v>
      </c>
      <c r="H6" s="2" t="s">
        <v>193</v>
      </c>
      <c r="I6" s="7" t="s">
        <v>194</v>
      </c>
      <c r="J6" s="8" t="s">
        <v>164</v>
      </c>
      <c r="K6" s="5" t="s">
        <v>35</v>
      </c>
      <c r="L6" s="5" t="s">
        <v>174</v>
      </c>
      <c r="M6" s="5" t="s">
        <v>195</v>
      </c>
      <c r="N6" s="8" t="s">
        <v>16</v>
      </c>
      <c r="O6" s="9">
        <v>46305</v>
      </c>
    </row>
    <row r="7" spans="1:15" ht="62.3" customHeight="1" x14ac:dyDescent="0.3">
      <c r="A7" s="5" t="s">
        <v>196</v>
      </c>
      <c r="B7" s="2" t="s">
        <v>33</v>
      </c>
      <c r="C7" s="5" t="s">
        <v>43</v>
      </c>
      <c r="D7" s="2" t="s">
        <v>197</v>
      </c>
      <c r="E7" s="2" t="s">
        <v>198</v>
      </c>
      <c r="F7" s="2" t="s">
        <v>199</v>
      </c>
      <c r="G7" s="2" t="s">
        <v>200</v>
      </c>
      <c r="H7" s="2" t="s">
        <v>201</v>
      </c>
      <c r="I7" s="7" t="s">
        <v>202</v>
      </c>
      <c r="J7" s="8" t="s">
        <v>164</v>
      </c>
      <c r="K7" s="5" t="s">
        <v>35</v>
      </c>
      <c r="L7" s="5" t="s">
        <v>174</v>
      </c>
      <c r="M7" s="5" t="s">
        <v>166</v>
      </c>
      <c r="N7" s="8" t="s">
        <v>16</v>
      </c>
      <c r="O7" s="9">
        <v>46306</v>
      </c>
    </row>
    <row r="8" spans="1:15" ht="37.6" customHeight="1" x14ac:dyDescent="0.3">
      <c r="A8" s="5" t="s">
        <v>203</v>
      </c>
      <c r="B8" s="2" t="s">
        <v>33</v>
      </c>
      <c r="C8" s="5" t="s">
        <v>43</v>
      </c>
      <c r="D8" s="2" t="s">
        <v>204</v>
      </c>
      <c r="E8" s="2" t="s">
        <v>198</v>
      </c>
      <c r="F8" s="2" t="s">
        <v>205</v>
      </c>
      <c r="G8" s="2" t="s">
        <v>206</v>
      </c>
      <c r="H8" s="2" t="s">
        <v>207</v>
      </c>
      <c r="I8" s="7" t="s">
        <v>208</v>
      </c>
      <c r="J8" s="8" t="s">
        <v>164</v>
      </c>
      <c r="K8" s="5" t="s">
        <v>58</v>
      </c>
      <c r="L8" s="5" t="s">
        <v>174</v>
      </c>
      <c r="M8" s="5" t="s">
        <v>209</v>
      </c>
      <c r="N8" s="8" t="s">
        <v>16</v>
      </c>
      <c r="O8" s="9">
        <v>46306</v>
      </c>
    </row>
    <row r="9" spans="1:15" ht="37.6" customHeight="1" x14ac:dyDescent="0.3">
      <c r="A9" s="5" t="s">
        <v>210</v>
      </c>
      <c r="B9" s="2" t="s">
        <v>33</v>
      </c>
      <c r="C9" s="5" t="s">
        <v>43</v>
      </c>
      <c r="D9" s="2" t="s">
        <v>211</v>
      </c>
      <c r="E9" s="2" t="s">
        <v>198</v>
      </c>
      <c r="F9" s="2" t="s">
        <v>212</v>
      </c>
      <c r="G9" s="2" t="s">
        <v>213</v>
      </c>
      <c r="H9" s="2" t="s">
        <v>214</v>
      </c>
      <c r="I9" s="7" t="s">
        <v>215</v>
      </c>
      <c r="J9" s="8" t="s">
        <v>164</v>
      </c>
      <c r="K9" s="5" t="s">
        <v>58</v>
      </c>
      <c r="L9" s="5" t="s">
        <v>174</v>
      </c>
      <c r="M9" s="5" t="s">
        <v>166</v>
      </c>
      <c r="N9" s="8" t="s">
        <v>16</v>
      </c>
      <c r="O9" s="9">
        <v>46306</v>
      </c>
    </row>
    <row r="10" spans="1:15" ht="24.75" customHeight="1" x14ac:dyDescent="0.3">
      <c r="A10" s="5" t="s">
        <v>216</v>
      </c>
      <c r="B10" s="2" t="s">
        <v>33</v>
      </c>
      <c r="C10" s="5" t="s">
        <v>43</v>
      </c>
      <c r="D10" s="2" t="s">
        <v>217</v>
      </c>
      <c r="E10" s="2" t="s">
        <v>218</v>
      </c>
      <c r="F10" s="2" t="s">
        <v>219</v>
      </c>
      <c r="G10" s="2" t="s">
        <v>220</v>
      </c>
      <c r="H10" s="2" t="s">
        <v>221</v>
      </c>
      <c r="I10" s="7" t="s">
        <v>222</v>
      </c>
      <c r="J10" s="8" t="s">
        <v>164</v>
      </c>
      <c r="K10" s="5" t="s">
        <v>58</v>
      </c>
      <c r="L10" s="5" t="s">
        <v>174</v>
      </c>
      <c r="M10" s="5" t="s">
        <v>166</v>
      </c>
      <c r="N10" s="8" t="s">
        <v>16</v>
      </c>
      <c r="O10" s="9">
        <v>46306</v>
      </c>
    </row>
    <row r="11" spans="1:15" ht="62.3" customHeight="1" x14ac:dyDescent="0.3">
      <c r="A11" s="5" t="s">
        <v>223</v>
      </c>
      <c r="B11" s="2" t="s">
        <v>33</v>
      </c>
      <c r="C11" s="5" t="s">
        <v>46</v>
      </c>
      <c r="D11" s="2" t="s">
        <v>224</v>
      </c>
      <c r="E11" s="2" t="s">
        <v>225</v>
      </c>
      <c r="F11" s="2" t="s">
        <v>226</v>
      </c>
      <c r="G11" s="2" t="s">
        <v>227</v>
      </c>
      <c r="H11" s="2" t="s">
        <v>228</v>
      </c>
      <c r="I11" s="7" t="s">
        <v>229</v>
      </c>
      <c r="J11" s="8" t="s">
        <v>164</v>
      </c>
      <c r="K11" s="5" t="s">
        <v>35</v>
      </c>
      <c r="L11" s="5" t="s">
        <v>165</v>
      </c>
      <c r="M11" s="5" t="s">
        <v>230</v>
      </c>
      <c r="N11" s="8" t="s">
        <v>16</v>
      </c>
      <c r="O11" s="9">
        <v>46306</v>
      </c>
    </row>
    <row r="12" spans="1:15" ht="37.6" customHeight="1" x14ac:dyDescent="0.3">
      <c r="A12" s="5" t="s">
        <v>231</v>
      </c>
      <c r="B12" s="2" t="s">
        <v>33</v>
      </c>
      <c r="C12" s="5" t="s">
        <v>46</v>
      </c>
      <c r="D12" s="2" t="s">
        <v>232</v>
      </c>
      <c r="E12" s="2" t="s">
        <v>233</v>
      </c>
      <c r="F12" s="2" t="s">
        <v>234</v>
      </c>
      <c r="G12" s="2" t="s">
        <v>235</v>
      </c>
      <c r="H12" s="2" t="s">
        <v>236</v>
      </c>
      <c r="I12" s="7" t="s">
        <v>237</v>
      </c>
      <c r="J12" s="8" t="s">
        <v>164</v>
      </c>
      <c r="K12" s="5" t="s">
        <v>58</v>
      </c>
      <c r="L12" s="5" t="s">
        <v>174</v>
      </c>
      <c r="M12" s="5" t="s">
        <v>166</v>
      </c>
      <c r="N12" s="8" t="s">
        <v>16</v>
      </c>
      <c r="O12" s="9">
        <v>46306</v>
      </c>
    </row>
    <row r="13" spans="1:15" ht="37.6" customHeight="1" x14ac:dyDescent="0.3">
      <c r="A13" s="5" t="s">
        <v>238</v>
      </c>
      <c r="B13" s="2" t="s">
        <v>50</v>
      </c>
      <c r="C13" s="5" t="s">
        <v>49</v>
      </c>
      <c r="D13" s="2" t="s">
        <v>239</v>
      </c>
      <c r="E13" s="2" t="s">
        <v>240</v>
      </c>
      <c r="F13" s="2" t="s">
        <v>241</v>
      </c>
      <c r="G13" s="2" t="s">
        <v>242</v>
      </c>
      <c r="H13" s="2" t="s">
        <v>243</v>
      </c>
      <c r="I13" s="7" t="s">
        <v>244</v>
      </c>
      <c r="J13" s="8" t="s">
        <v>164</v>
      </c>
      <c r="K13" s="5" t="s">
        <v>35</v>
      </c>
      <c r="L13" s="5" t="s">
        <v>165</v>
      </c>
      <c r="M13" s="5" t="s">
        <v>166</v>
      </c>
      <c r="N13" s="8" t="s">
        <v>245</v>
      </c>
      <c r="O13" s="9">
        <v>46306</v>
      </c>
    </row>
    <row r="14" spans="1:15" ht="37.6" customHeight="1" x14ac:dyDescent="0.3">
      <c r="A14" s="5" t="s">
        <v>246</v>
      </c>
      <c r="B14" s="2" t="s">
        <v>50</v>
      </c>
      <c r="C14" s="5" t="s">
        <v>49</v>
      </c>
      <c r="D14" s="2" t="s">
        <v>247</v>
      </c>
      <c r="E14" s="2" t="s">
        <v>248</v>
      </c>
      <c r="F14" s="2" t="s">
        <v>249</v>
      </c>
      <c r="G14" s="2" t="s">
        <v>250</v>
      </c>
      <c r="H14" s="2" t="s">
        <v>251</v>
      </c>
      <c r="I14" s="7" t="s">
        <v>252</v>
      </c>
      <c r="J14" s="8" t="s">
        <v>164</v>
      </c>
      <c r="K14" s="5" t="s">
        <v>58</v>
      </c>
      <c r="L14" s="5" t="s">
        <v>174</v>
      </c>
      <c r="M14" s="5" t="s">
        <v>166</v>
      </c>
      <c r="N14" s="8" t="s">
        <v>245</v>
      </c>
      <c r="O14" s="9">
        <v>46306</v>
      </c>
    </row>
    <row r="15" spans="1:15" ht="37.6" customHeight="1" x14ac:dyDescent="0.3">
      <c r="A15" s="5" t="s">
        <v>253</v>
      </c>
      <c r="B15" s="2" t="s">
        <v>50</v>
      </c>
      <c r="C15" s="5" t="s">
        <v>53</v>
      </c>
      <c r="D15" s="2" t="s">
        <v>254</v>
      </c>
      <c r="E15" s="2" t="s">
        <v>190</v>
      </c>
      <c r="F15" s="2" t="s">
        <v>255</v>
      </c>
      <c r="G15" s="2" t="s">
        <v>256</v>
      </c>
      <c r="H15" s="2" t="s">
        <v>257</v>
      </c>
      <c r="I15" s="7" t="s">
        <v>258</v>
      </c>
      <c r="J15" s="8" t="s">
        <v>164</v>
      </c>
      <c r="K15" s="5" t="s">
        <v>35</v>
      </c>
      <c r="L15" s="5" t="s">
        <v>174</v>
      </c>
      <c r="M15" s="5" t="s">
        <v>259</v>
      </c>
      <c r="N15" s="8" t="s">
        <v>245</v>
      </c>
      <c r="O15" s="9">
        <v>46306</v>
      </c>
    </row>
    <row r="16" spans="1:15" ht="24.75" customHeight="1" x14ac:dyDescent="0.3">
      <c r="A16" s="5" t="s">
        <v>260</v>
      </c>
      <c r="B16" s="2" t="s">
        <v>50</v>
      </c>
      <c r="C16" s="5" t="s">
        <v>53</v>
      </c>
      <c r="D16" s="2" t="s">
        <v>261</v>
      </c>
      <c r="E16" s="2" t="s">
        <v>262</v>
      </c>
      <c r="F16" s="2" t="s">
        <v>263</v>
      </c>
      <c r="G16" s="2" t="s">
        <v>264</v>
      </c>
      <c r="H16" s="2" t="s">
        <v>265</v>
      </c>
      <c r="I16" s="7" t="s">
        <v>266</v>
      </c>
      <c r="J16" s="8" t="s">
        <v>164</v>
      </c>
      <c r="K16" s="5" t="s">
        <v>58</v>
      </c>
      <c r="L16" s="5" t="s">
        <v>181</v>
      </c>
      <c r="M16" s="5" t="s">
        <v>209</v>
      </c>
      <c r="N16" s="8" t="s">
        <v>245</v>
      </c>
      <c r="O16" s="9">
        <v>46306</v>
      </c>
    </row>
    <row r="17" spans="1:15" ht="24.75" customHeight="1" x14ac:dyDescent="0.3">
      <c r="A17" s="5" t="s">
        <v>267</v>
      </c>
      <c r="B17" s="2" t="s">
        <v>50</v>
      </c>
      <c r="C17" s="5" t="s">
        <v>53</v>
      </c>
      <c r="D17" s="2" t="s">
        <v>268</v>
      </c>
      <c r="E17" s="2" t="s">
        <v>269</v>
      </c>
      <c r="F17" s="2" t="s">
        <v>270</v>
      </c>
      <c r="G17" s="2" t="s">
        <v>271</v>
      </c>
      <c r="H17" s="2" t="s">
        <v>272</v>
      </c>
      <c r="I17" s="7" t="s">
        <v>273</v>
      </c>
      <c r="J17" s="8" t="s">
        <v>274</v>
      </c>
      <c r="K17" s="5" t="s">
        <v>58</v>
      </c>
      <c r="L17" s="5" t="s">
        <v>181</v>
      </c>
      <c r="M17" s="5" t="s">
        <v>209</v>
      </c>
      <c r="N17" s="8" t="s">
        <v>245</v>
      </c>
      <c r="O17" s="9">
        <v>46306</v>
      </c>
    </row>
    <row r="18" spans="1:15" ht="37.6" customHeight="1" x14ac:dyDescent="0.3">
      <c r="A18" s="5" t="s">
        <v>59</v>
      </c>
      <c r="B18" s="2" t="s">
        <v>50</v>
      </c>
      <c r="C18" s="5" t="s">
        <v>56</v>
      </c>
      <c r="D18" s="2" t="s">
        <v>275</v>
      </c>
      <c r="E18" s="2" t="s">
        <v>276</v>
      </c>
      <c r="F18" s="2" t="s">
        <v>277</v>
      </c>
      <c r="G18" s="2" t="s">
        <v>242</v>
      </c>
      <c r="H18" s="2" t="s">
        <v>278</v>
      </c>
      <c r="I18" s="7" t="s">
        <v>279</v>
      </c>
      <c r="J18" s="8" t="s">
        <v>164</v>
      </c>
      <c r="K18" s="5" t="s">
        <v>35</v>
      </c>
      <c r="L18" s="5" t="s">
        <v>174</v>
      </c>
      <c r="M18" s="5" t="s">
        <v>166</v>
      </c>
      <c r="N18" s="8" t="s">
        <v>245</v>
      </c>
      <c r="O18" s="9">
        <v>46306</v>
      </c>
    </row>
    <row r="19" spans="1:15" ht="37.6" customHeight="1" x14ac:dyDescent="0.3">
      <c r="A19" s="5" t="s">
        <v>280</v>
      </c>
      <c r="B19" s="2" t="s">
        <v>50</v>
      </c>
      <c r="C19" s="5" t="s">
        <v>49</v>
      </c>
      <c r="D19" s="2" t="s">
        <v>281</v>
      </c>
      <c r="E19" s="2" t="s">
        <v>190</v>
      </c>
      <c r="F19" s="2" t="s">
        <v>282</v>
      </c>
      <c r="G19" s="2" t="s">
        <v>283</v>
      </c>
      <c r="H19" s="2" t="s">
        <v>284</v>
      </c>
      <c r="I19" s="7" t="s">
        <v>285</v>
      </c>
      <c r="J19" s="8" t="s">
        <v>164</v>
      </c>
      <c r="K19" s="5" t="s">
        <v>103</v>
      </c>
      <c r="L19" s="5" t="s">
        <v>181</v>
      </c>
      <c r="M19" s="5" t="s">
        <v>286</v>
      </c>
      <c r="N19" s="8" t="s">
        <v>245</v>
      </c>
      <c r="O19" s="9">
        <v>46306</v>
      </c>
    </row>
    <row r="20" spans="1:15" ht="37.6" customHeight="1" x14ac:dyDescent="0.3">
      <c r="A20" s="5" t="s">
        <v>62</v>
      </c>
      <c r="B20" s="2" t="s">
        <v>50</v>
      </c>
      <c r="C20" s="5" t="s">
        <v>60</v>
      </c>
      <c r="D20" s="2" t="s">
        <v>287</v>
      </c>
      <c r="E20" s="2" t="s">
        <v>288</v>
      </c>
      <c r="F20" s="2" t="s">
        <v>289</v>
      </c>
      <c r="G20" s="2" t="s">
        <v>242</v>
      </c>
      <c r="H20" s="2" t="s">
        <v>290</v>
      </c>
      <c r="I20" s="7" t="s">
        <v>291</v>
      </c>
      <c r="J20" s="8" t="s">
        <v>164</v>
      </c>
      <c r="K20" s="5" t="s">
        <v>58</v>
      </c>
      <c r="L20" s="5" t="s">
        <v>174</v>
      </c>
      <c r="M20" s="5" t="s">
        <v>166</v>
      </c>
      <c r="N20" s="8" t="s">
        <v>245</v>
      </c>
      <c r="O20" s="9">
        <v>46306</v>
      </c>
    </row>
    <row r="21" spans="1:15" ht="49.5" customHeight="1" x14ac:dyDescent="0.3">
      <c r="A21" s="5" t="s">
        <v>292</v>
      </c>
      <c r="B21" s="2" t="s">
        <v>50</v>
      </c>
      <c r="C21" s="5" t="s">
        <v>63</v>
      </c>
      <c r="D21" s="2" t="s">
        <v>293</v>
      </c>
      <c r="E21" s="2" t="s">
        <v>294</v>
      </c>
      <c r="F21" s="2" t="s">
        <v>295</v>
      </c>
      <c r="G21" s="2" t="s">
        <v>296</v>
      </c>
      <c r="H21" s="2" t="s">
        <v>297</v>
      </c>
      <c r="I21" s="7" t="s">
        <v>298</v>
      </c>
      <c r="J21" s="8" t="s">
        <v>164</v>
      </c>
      <c r="K21" s="5" t="s">
        <v>35</v>
      </c>
      <c r="L21" s="5" t="s">
        <v>174</v>
      </c>
      <c r="M21" s="5" t="s">
        <v>166</v>
      </c>
      <c r="N21" s="8" t="s">
        <v>245</v>
      </c>
      <c r="O21" s="9">
        <v>46306</v>
      </c>
    </row>
    <row r="22" spans="1:15" ht="49.5" customHeight="1" x14ac:dyDescent="0.3">
      <c r="A22" s="5" t="s">
        <v>299</v>
      </c>
      <c r="B22" s="2" t="s">
        <v>50</v>
      </c>
      <c r="C22" s="5" t="s">
        <v>63</v>
      </c>
      <c r="D22" s="2" t="s">
        <v>300</v>
      </c>
      <c r="E22" s="2" t="s">
        <v>301</v>
      </c>
      <c r="F22" s="2" t="s">
        <v>302</v>
      </c>
      <c r="G22" s="2" t="s">
        <v>303</v>
      </c>
      <c r="H22" s="2" t="s">
        <v>304</v>
      </c>
      <c r="I22" s="7" t="s">
        <v>305</v>
      </c>
      <c r="J22" s="8" t="s">
        <v>164</v>
      </c>
      <c r="K22" s="5" t="s">
        <v>35</v>
      </c>
      <c r="L22" s="5" t="s">
        <v>174</v>
      </c>
      <c r="M22" s="5" t="s">
        <v>306</v>
      </c>
      <c r="N22" s="8" t="s">
        <v>245</v>
      </c>
      <c r="O22" s="9">
        <v>46306</v>
      </c>
    </row>
    <row r="23" spans="1:15" ht="49.5" customHeight="1" x14ac:dyDescent="0.3">
      <c r="A23" s="5" t="s">
        <v>68</v>
      </c>
      <c r="B23" s="2" t="s">
        <v>50</v>
      </c>
      <c r="C23" s="5" t="s">
        <v>66</v>
      </c>
      <c r="D23" s="2" t="s">
        <v>307</v>
      </c>
      <c r="E23" s="2" t="s">
        <v>294</v>
      </c>
      <c r="F23" s="2" t="s">
        <v>308</v>
      </c>
      <c r="G23" s="2" t="s">
        <v>242</v>
      </c>
      <c r="H23" s="2" t="s">
        <v>309</v>
      </c>
      <c r="I23" s="7" t="s">
        <v>310</v>
      </c>
      <c r="J23" s="8" t="s">
        <v>164</v>
      </c>
      <c r="K23" s="5" t="s">
        <v>58</v>
      </c>
      <c r="L23" s="5" t="s">
        <v>174</v>
      </c>
      <c r="M23" s="5" t="s">
        <v>166</v>
      </c>
      <c r="N23" s="8" t="s">
        <v>245</v>
      </c>
      <c r="O23" s="9">
        <v>46306</v>
      </c>
    </row>
    <row r="24" spans="1:15" ht="37.6" customHeight="1" x14ac:dyDescent="0.3">
      <c r="A24" s="5" t="s">
        <v>71</v>
      </c>
      <c r="B24" s="2" t="s">
        <v>50</v>
      </c>
      <c r="C24" s="5" t="s">
        <v>69</v>
      </c>
      <c r="D24" s="2" t="s">
        <v>311</v>
      </c>
      <c r="E24" s="2" t="s">
        <v>294</v>
      </c>
      <c r="F24" s="2" t="s">
        <v>312</v>
      </c>
      <c r="G24" s="2" t="s">
        <v>242</v>
      </c>
      <c r="H24" s="2" t="s">
        <v>313</v>
      </c>
      <c r="I24" s="7" t="s">
        <v>314</v>
      </c>
      <c r="J24" s="8" t="s">
        <v>164</v>
      </c>
      <c r="K24" s="5" t="s">
        <v>35</v>
      </c>
      <c r="L24" s="5" t="s">
        <v>174</v>
      </c>
      <c r="M24" s="5" t="s">
        <v>195</v>
      </c>
      <c r="N24" s="8" t="s">
        <v>245</v>
      </c>
      <c r="O24" s="9">
        <v>46306</v>
      </c>
    </row>
    <row r="25" spans="1:15" ht="49.5" customHeight="1" x14ac:dyDescent="0.3">
      <c r="A25" s="5" t="s">
        <v>315</v>
      </c>
      <c r="B25" s="2" t="s">
        <v>73</v>
      </c>
      <c r="C25" s="5" t="s">
        <v>72</v>
      </c>
      <c r="D25" s="2" t="s">
        <v>316</v>
      </c>
      <c r="E25" s="2" t="s">
        <v>190</v>
      </c>
      <c r="F25" s="2" t="s">
        <v>317</v>
      </c>
      <c r="G25" s="2" t="s">
        <v>318</v>
      </c>
      <c r="H25" s="2" t="s">
        <v>319</v>
      </c>
      <c r="I25" s="7" t="s">
        <v>320</v>
      </c>
      <c r="J25" s="8" t="s">
        <v>164</v>
      </c>
      <c r="K25" s="5" t="s">
        <v>35</v>
      </c>
      <c r="L25" s="5" t="s">
        <v>174</v>
      </c>
      <c r="M25" s="5" t="s">
        <v>166</v>
      </c>
      <c r="N25" s="8" t="s">
        <v>16</v>
      </c>
      <c r="O25" s="9">
        <v>46306</v>
      </c>
    </row>
    <row r="26" spans="1:15" ht="37.6" customHeight="1" x14ac:dyDescent="0.3">
      <c r="A26" s="5" t="s">
        <v>321</v>
      </c>
      <c r="B26" s="2" t="s">
        <v>73</v>
      </c>
      <c r="C26" s="5" t="s">
        <v>72</v>
      </c>
      <c r="D26" s="2" t="s">
        <v>322</v>
      </c>
      <c r="E26" s="2" t="s">
        <v>190</v>
      </c>
      <c r="F26" s="2" t="s">
        <v>323</v>
      </c>
      <c r="G26" s="2" t="s">
        <v>324</v>
      </c>
      <c r="H26" s="2" t="s">
        <v>325</v>
      </c>
      <c r="I26" s="7" t="s">
        <v>326</v>
      </c>
      <c r="J26" s="8" t="s">
        <v>164</v>
      </c>
      <c r="K26" s="5" t="s">
        <v>58</v>
      </c>
      <c r="L26" s="5" t="s">
        <v>181</v>
      </c>
      <c r="M26" s="5" t="s">
        <v>327</v>
      </c>
      <c r="N26" s="8" t="s">
        <v>16</v>
      </c>
      <c r="O26" s="9">
        <v>46306</v>
      </c>
    </row>
    <row r="27" spans="1:15" ht="37.6" customHeight="1" x14ac:dyDescent="0.3">
      <c r="A27" s="5" t="s">
        <v>328</v>
      </c>
      <c r="B27" s="2" t="s">
        <v>73</v>
      </c>
      <c r="C27" s="5" t="s">
        <v>76</v>
      </c>
      <c r="D27" s="2" t="s">
        <v>329</v>
      </c>
      <c r="E27" s="2" t="s">
        <v>330</v>
      </c>
      <c r="F27" s="2" t="s">
        <v>331</v>
      </c>
      <c r="G27" s="2" t="s">
        <v>332</v>
      </c>
      <c r="H27" s="2" t="s">
        <v>333</v>
      </c>
      <c r="I27" s="7" t="s">
        <v>334</v>
      </c>
      <c r="J27" s="8" t="s">
        <v>164</v>
      </c>
      <c r="K27" s="5" t="s">
        <v>58</v>
      </c>
      <c r="L27" s="5" t="s">
        <v>174</v>
      </c>
      <c r="M27" s="5" t="s">
        <v>259</v>
      </c>
      <c r="N27" s="8" t="s">
        <v>16</v>
      </c>
      <c r="O27" s="9">
        <v>46306</v>
      </c>
    </row>
    <row r="28" spans="1:15" ht="37.6" customHeight="1" x14ac:dyDescent="0.3">
      <c r="A28" s="5" t="s">
        <v>335</v>
      </c>
      <c r="B28" s="2" t="s">
        <v>73</v>
      </c>
      <c r="C28" s="5" t="s">
        <v>72</v>
      </c>
      <c r="D28" s="2" t="s">
        <v>336</v>
      </c>
      <c r="E28" s="2" t="s">
        <v>190</v>
      </c>
      <c r="F28" s="2" t="s">
        <v>337</v>
      </c>
      <c r="G28" s="2" t="s">
        <v>338</v>
      </c>
      <c r="H28" s="2" t="s">
        <v>339</v>
      </c>
      <c r="I28" s="7" t="s">
        <v>340</v>
      </c>
      <c r="J28" s="8" t="s">
        <v>164</v>
      </c>
      <c r="K28" s="5" t="s">
        <v>103</v>
      </c>
      <c r="L28" s="5" t="s">
        <v>181</v>
      </c>
      <c r="M28" s="5" t="s">
        <v>209</v>
      </c>
      <c r="N28" s="8" t="s">
        <v>16</v>
      </c>
      <c r="O28" s="9">
        <v>46306</v>
      </c>
    </row>
    <row r="29" spans="1:15" ht="37.6" customHeight="1" x14ac:dyDescent="0.3">
      <c r="A29" s="5" t="s">
        <v>81</v>
      </c>
      <c r="B29" s="2" t="s">
        <v>73</v>
      </c>
      <c r="C29" s="5" t="s">
        <v>79</v>
      </c>
      <c r="D29" s="2" t="s">
        <v>341</v>
      </c>
      <c r="E29" s="2" t="s">
        <v>190</v>
      </c>
      <c r="F29" s="2" t="s">
        <v>342</v>
      </c>
      <c r="G29" s="2" t="s">
        <v>343</v>
      </c>
      <c r="H29" s="2" t="s">
        <v>344</v>
      </c>
      <c r="I29" s="7" t="s">
        <v>345</v>
      </c>
      <c r="J29" s="8" t="s">
        <v>164</v>
      </c>
      <c r="K29" s="5" t="s">
        <v>58</v>
      </c>
      <c r="L29" s="5" t="s">
        <v>181</v>
      </c>
      <c r="M29" s="5" t="s">
        <v>286</v>
      </c>
      <c r="N29" s="8" t="s">
        <v>16</v>
      </c>
      <c r="O29" s="9">
        <v>46306</v>
      </c>
    </row>
    <row r="30" spans="1:15" ht="37.6" customHeight="1" x14ac:dyDescent="0.3">
      <c r="A30" s="5" t="s">
        <v>84</v>
      </c>
      <c r="B30" s="2" t="s">
        <v>73</v>
      </c>
      <c r="C30" s="5" t="s">
        <v>82</v>
      </c>
      <c r="D30" s="2" t="s">
        <v>346</v>
      </c>
      <c r="E30" s="2" t="s">
        <v>294</v>
      </c>
      <c r="F30" s="2" t="s">
        <v>347</v>
      </c>
      <c r="G30" s="2" t="s">
        <v>348</v>
      </c>
      <c r="H30" s="2" t="s">
        <v>349</v>
      </c>
      <c r="I30" s="7" t="s">
        <v>350</v>
      </c>
      <c r="J30" s="8" t="s">
        <v>164</v>
      </c>
      <c r="K30" s="5" t="s">
        <v>58</v>
      </c>
      <c r="L30" s="5" t="s">
        <v>174</v>
      </c>
      <c r="M30" s="5" t="s">
        <v>166</v>
      </c>
      <c r="N30" s="8" t="s">
        <v>16</v>
      </c>
      <c r="O30" s="9">
        <v>46306</v>
      </c>
    </row>
    <row r="31" spans="1:15" ht="37.6" customHeight="1" x14ac:dyDescent="0.3">
      <c r="A31" s="5" t="s">
        <v>351</v>
      </c>
      <c r="B31" s="2" t="s">
        <v>73</v>
      </c>
      <c r="C31" s="5" t="s">
        <v>76</v>
      </c>
      <c r="D31" s="2" t="s">
        <v>352</v>
      </c>
      <c r="E31" s="2" t="s">
        <v>353</v>
      </c>
      <c r="F31" s="2" t="s">
        <v>354</v>
      </c>
      <c r="G31" s="2" t="s">
        <v>355</v>
      </c>
      <c r="H31" s="2" t="s">
        <v>356</v>
      </c>
      <c r="I31" s="7" t="s">
        <v>357</v>
      </c>
      <c r="J31" s="8" t="s">
        <v>164</v>
      </c>
      <c r="K31" s="5" t="s">
        <v>58</v>
      </c>
      <c r="L31" s="5" t="s">
        <v>174</v>
      </c>
      <c r="M31" s="5" t="s">
        <v>166</v>
      </c>
      <c r="N31" s="8" t="s">
        <v>16</v>
      </c>
      <c r="O31" s="9">
        <v>46306</v>
      </c>
    </row>
    <row r="32" spans="1:15" ht="24.75" customHeight="1" x14ac:dyDescent="0.3">
      <c r="A32" s="5" t="s">
        <v>358</v>
      </c>
      <c r="B32" s="2" t="s">
        <v>73</v>
      </c>
      <c r="C32" s="5" t="s">
        <v>76</v>
      </c>
      <c r="D32" s="2" t="s">
        <v>359</v>
      </c>
      <c r="E32" s="2" t="s">
        <v>360</v>
      </c>
      <c r="F32" s="2" t="s">
        <v>361</v>
      </c>
      <c r="G32" s="2" t="s">
        <v>362</v>
      </c>
      <c r="H32" s="2" t="s">
        <v>363</v>
      </c>
      <c r="I32" s="7" t="s">
        <v>364</v>
      </c>
      <c r="J32" s="8" t="s">
        <v>164</v>
      </c>
      <c r="K32" s="5" t="s">
        <v>35</v>
      </c>
      <c r="L32" s="5" t="s">
        <v>174</v>
      </c>
      <c r="M32" s="5" t="s">
        <v>195</v>
      </c>
      <c r="N32" s="8" t="s">
        <v>16</v>
      </c>
      <c r="O32" s="9">
        <v>46306</v>
      </c>
    </row>
    <row r="33" spans="1:15" ht="49.5" customHeight="1" x14ac:dyDescent="0.3">
      <c r="A33" s="5" t="s">
        <v>87</v>
      </c>
      <c r="B33" s="2" t="s">
        <v>73</v>
      </c>
      <c r="C33" s="5" t="s">
        <v>85</v>
      </c>
      <c r="D33" s="2" t="s">
        <v>365</v>
      </c>
      <c r="E33" s="2" t="s">
        <v>190</v>
      </c>
      <c r="F33" s="2" t="s">
        <v>366</v>
      </c>
      <c r="G33" s="2" t="s">
        <v>367</v>
      </c>
      <c r="H33" s="2" t="s">
        <v>368</v>
      </c>
      <c r="I33" s="7" t="s">
        <v>369</v>
      </c>
      <c r="J33" s="8" t="s">
        <v>164</v>
      </c>
      <c r="K33" s="5" t="s">
        <v>58</v>
      </c>
      <c r="L33" s="5" t="s">
        <v>174</v>
      </c>
      <c r="M33" s="5" t="s">
        <v>166</v>
      </c>
      <c r="N33" s="8" t="s">
        <v>16</v>
      </c>
      <c r="O33" s="9">
        <v>46306</v>
      </c>
    </row>
    <row r="34" spans="1:15" ht="49.5" customHeight="1" x14ac:dyDescent="0.3">
      <c r="A34" s="5" t="s">
        <v>370</v>
      </c>
      <c r="B34" s="2" t="s">
        <v>73</v>
      </c>
      <c r="C34" s="5" t="s">
        <v>88</v>
      </c>
      <c r="D34" s="2" t="s">
        <v>371</v>
      </c>
      <c r="E34" s="2" t="s">
        <v>190</v>
      </c>
      <c r="F34" s="2" t="s">
        <v>372</v>
      </c>
      <c r="G34" s="2" t="s">
        <v>373</v>
      </c>
      <c r="H34" s="2" t="s">
        <v>374</v>
      </c>
      <c r="I34" s="7" t="s">
        <v>375</v>
      </c>
      <c r="J34" s="8" t="s">
        <v>164</v>
      </c>
      <c r="K34" s="5" t="s">
        <v>58</v>
      </c>
      <c r="L34" s="5" t="s">
        <v>174</v>
      </c>
      <c r="M34" s="5" t="s">
        <v>166</v>
      </c>
      <c r="N34" s="8" t="s">
        <v>16</v>
      </c>
      <c r="O34" s="9">
        <v>46306</v>
      </c>
    </row>
    <row r="35" spans="1:15" ht="37.6" customHeight="1" x14ac:dyDescent="0.3">
      <c r="A35" s="5" t="s">
        <v>376</v>
      </c>
      <c r="B35" s="2" t="s">
        <v>73</v>
      </c>
      <c r="C35" s="5" t="s">
        <v>91</v>
      </c>
      <c r="D35" s="2" t="s">
        <v>377</v>
      </c>
      <c r="E35" s="2" t="s">
        <v>378</v>
      </c>
      <c r="F35" s="2" t="s">
        <v>379</v>
      </c>
      <c r="G35" s="2" t="s">
        <v>380</v>
      </c>
      <c r="H35" s="2" t="s">
        <v>381</v>
      </c>
      <c r="I35" s="7" t="s">
        <v>382</v>
      </c>
      <c r="J35" s="8" t="s">
        <v>164</v>
      </c>
      <c r="K35" s="5" t="s">
        <v>35</v>
      </c>
      <c r="L35" s="5" t="s">
        <v>174</v>
      </c>
      <c r="M35" s="5" t="s">
        <v>383</v>
      </c>
      <c r="N35" s="8" t="s">
        <v>16</v>
      </c>
      <c r="O35" s="9">
        <v>46306</v>
      </c>
    </row>
    <row r="36" spans="1:15" ht="24.75" customHeight="1" x14ac:dyDescent="0.3">
      <c r="A36" s="5" t="s">
        <v>384</v>
      </c>
      <c r="B36" s="2" t="s">
        <v>95</v>
      </c>
      <c r="C36" s="5" t="s">
        <v>94</v>
      </c>
      <c r="D36" s="2" t="s">
        <v>385</v>
      </c>
      <c r="E36" s="2" t="s">
        <v>386</v>
      </c>
      <c r="F36" s="2" t="s">
        <v>387</v>
      </c>
      <c r="G36" s="2" t="s">
        <v>388</v>
      </c>
      <c r="H36" s="2" t="s">
        <v>389</v>
      </c>
      <c r="I36" s="7" t="s">
        <v>390</v>
      </c>
      <c r="J36" s="8" t="s">
        <v>164</v>
      </c>
      <c r="K36" s="5" t="s">
        <v>35</v>
      </c>
      <c r="L36" s="5" t="s">
        <v>174</v>
      </c>
      <c r="M36" s="5" t="s">
        <v>166</v>
      </c>
      <c r="N36" s="8" t="s">
        <v>245</v>
      </c>
      <c r="O36" s="9">
        <v>46306</v>
      </c>
    </row>
    <row r="37" spans="1:15" ht="24.75" customHeight="1" x14ac:dyDescent="0.3">
      <c r="A37" s="5" t="s">
        <v>391</v>
      </c>
      <c r="B37" s="2" t="s">
        <v>95</v>
      </c>
      <c r="C37" s="5" t="s">
        <v>94</v>
      </c>
      <c r="D37" s="2" t="s">
        <v>392</v>
      </c>
      <c r="E37" s="2" t="s">
        <v>393</v>
      </c>
      <c r="F37" s="2" t="s">
        <v>394</v>
      </c>
      <c r="G37" s="2" t="s">
        <v>395</v>
      </c>
      <c r="H37" s="2" t="s">
        <v>396</v>
      </c>
      <c r="I37" s="7" t="s">
        <v>397</v>
      </c>
      <c r="J37" s="8" t="s">
        <v>164</v>
      </c>
      <c r="K37" s="5" t="s">
        <v>58</v>
      </c>
      <c r="L37" s="5" t="s">
        <v>181</v>
      </c>
      <c r="M37" s="5" t="s">
        <v>166</v>
      </c>
      <c r="N37" s="8" t="s">
        <v>245</v>
      </c>
      <c r="O37" s="9">
        <v>46306</v>
      </c>
    </row>
    <row r="38" spans="1:15" ht="24.75" customHeight="1" x14ac:dyDescent="0.3">
      <c r="A38" s="5" t="s">
        <v>398</v>
      </c>
      <c r="B38" s="2" t="s">
        <v>95</v>
      </c>
      <c r="C38" s="5" t="s">
        <v>94</v>
      </c>
      <c r="D38" s="2" t="s">
        <v>399</v>
      </c>
      <c r="E38" s="2" t="s">
        <v>190</v>
      </c>
      <c r="F38" s="2" t="s">
        <v>400</v>
      </c>
      <c r="G38" s="2" t="s">
        <v>401</v>
      </c>
      <c r="H38" s="2" t="s">
        <v>402</v>
      </c>
      <c r="I38" s="7" t="s">
        <v>403</v>
      </c>
      <c r="J38" s="8" t="s">
        <v>164</v>
      </c>
      <c r="K38" s="5" t="s">
        <v>58</v>
      </c>
      <c r="L38" s="5" t="s">
        <v>174</v>
      </c>
      <c r="M38" s="5" t="s">
        <v>286</v>
      </c>
      <c r="N38" s="8" t="s">
        <v>245</v>
      </c>
      <c r="O38" s="9">
        <v>46306</v>
      </c>
    </row>
    <row r="39" spans="1:15" ht="49.5" customHeight="1" x14ac:dyDescent="0.3">
      <c r="A39" s="5" t="s">
        <v>404</v>
      </c>
      <c r="B39" s="2" t="s">
        <v>95</v>
      </c>
      <c r="C39" s="5" t="s">
        <v>98</v>
      </c>
      <c r="D39" s="2" t="s">
        <v>405</v>
      </c>
      <c r="E39" s="2" t="s">
        <v>406</v>
      </c>
      <c r="F39" s="2" t="s">
        <v>407</v>
      </c>
      <c r="G39" s="2" t="s">
        <v>408</v>
      </c>
      <c r="H39" s="2" t="s">
        <v>409</v>
      </c>
      <c r="I39" s="7" t="s">
        <v>410</v>
      </c>
      <c r="J39" s="8" t="s">
        <v>164</v>
      </c>
      <c r="K39" s="5" t="s">
        <v>35</v>
      </c>
      <c r="L39" s="5" t="s">
        <v>174</v>
      </c>
      <c r="M39" s="5" t="s">
        <v>230</v>
      </c>
      <c r="N39" s="8" t="s">
        <v>245</v>
      </c>
      <c r="O39" s="9">
        <v>46306</v>
      </c>
    </row>
    <row r="40" spans="1:15" ht="37.6" customHeight="1" x14ac:dyDescent="0.3">
      <c r="A40" s="5" t="s">
        <v>411</v>
      </c>
      <c r="B40" s="2" t="s">
        <v>95</v>
      </c>
      <c r="C40" s="5" t="s">
        <v>98</v>
      </c>
      <c r="D40" s="2" t="s">
        <v>412</v>
      </c>
      <c r="E40" s="2" t="s">
        <v>413</v>
      </c>
      <c r="F40" s="2" t="s">
        <v>414</v>
      </c>
      <c r="G40" s="2" t="s">
        <v>415</v>
      </c>
      <c r="H40" s="2" t="s">
        <v>416</v>
      </c>
      <c r="I40" s="7" t="s">
        <v>417</v>
      </c>
      <c r="J40" s="8" t="s">
        <v>164</v>
      </c>
      <c r="K40" s="5" t="s">
        <v>58</v>
      </c>
      <c r="L40" s="5" t="s">
        <v>174</v>
      </c>
      <c r="M40" s="5" t="s">
        <v>209</v>
      </c>
      <c r="N40" s="8" t="s">
        <v>245</v>
      </c>
      <c r="O40" s="9">
        <v>46306</v>
      </c>
    </row>
    <row r="41" spans="1:15" ht="24.75" customHeight="1" x14ac:dyDescent="0.3">
      <c r="A41" s="5" t="s">
        <v>104</v>
      </c>
      <c r="B41" s="2" t="s">
        <v>95</v>
      </c>
      <c r="C41" s="5" t="s">
        <v>101</v>
      </c>
      <c r="D41" s="2" t="s">
        <v>418</v>
      </c>
      <c r="E41" s="2" t="s">
        <v>419</v>
      </c>
      <c r="F41" s="2" t="s">
        <v>420</v>
      </c>
      <c r="G41" s="2" t="s">
        <v>421</v>
      </c>
      <c r="H41" s="2" t="s">
        <v>422</v>
      </c>
      <c r="I41" s="7" t="s">
        <v>423</v>
      </c>
      <c r="J41" s="8" t="s">
        <v>164</v>
      </c>
      <c r="K41" s="5" t="s">
        <v>103</v>
      </c>
      <c r="L41" s="5" t="s">
        <v>181</v>
      </c>
      <c r="M41" s="5" t="s">
        <v>166</v>
      </c>
      <c r="N41" s="8" t="s">
        <v>245</v>
      </c>
      <c r="O41" s="9">
        <v>46306</v>
      </c>
    </row>
    <row r="42" spans="1:15" ht="37.6" customHeight="1" x14ac:dyDescent="0.3">
      <c r="A42" s="5" t="s">
        <v>424</v>
      </c>
      <c r="B42" s="2" t="s">
        <v>95</v>
      </c>
      <c r="C42" s="5" t="s">
        <v>105</v>
      </c>
      <c r="D42" s="2" t="s">
        <v>425</v>
      </c>
      <c r="E42" s="2" t="s">
        <v>426</v>
      </c>
      <c r="F42" s="2" t="s">
        <v>427</v>
      </c>
      <c r="G42" s="2" t="s">
        <v>428</v>
      </c>
      <c r="H42" s="2" t="s">
        <v>429</v>
      </c>
      <c r="I42" s="7" t="s">
        <v>430</v>
      </c>
      <c r="J42" s="8" t="s">
        <v>164</v>
      </c>
      <c r="K42" s="5" t="s">
        <v>35</v>
      </c>
      <c r="L42" s="5" t="s">
        <v>174</v>
      </c>
      <c r="M42" s="5" t="s">
        <v>166</v>
      </c>
      <c r="N42" s="8" t="s">
        <v>245</v>
      </c>
      <c r="O42" s="9">
        <v>46306</v>
      </c>
    </row>
    <row r="43" spans="1:15" ht="24.75" customHeight="1" x14ac:dyDescent="0.3">
      <c r="A43" s="5" t="s">
        <v>431</v>
      </c>
      <c r="B43" s="2" t="s">
        <v>95</v>
      </c>
      <c r="C43" s="5" t="s">
        <v>105</v>
      </c>
      <c r="D43" s="2" t="s">
        <v>432</v>
      </c>
      <c r="E43" s="2" t="s">
        <v>433</v>
      </c>
      <c r="F43" s="2" t="s">
        <v>434</v>
      </c>
      <c r="G43" s="2" t="s">
        <v>435</v>
      </c>
      <c r="H43" s="2" t="s">
        <v>436</v>
      </c>
      <c r="I43" s="7" t="s">
        <v>437</v>
      </c>
      <c r="J43" s="8" t="s">
        <v>438</v>
      </c>
      <c r="K43" s="5" t="s">
        <v>103</v>
      </c>
      <c r="L43" s="5" t="s">
        <v>181</v>
      </c>
      <c r="M43" s="5" t="s">
        <v>166</v>
      </c>
      <c r="N43" s="8" t="s">
        <v>245</v>
      </c>
      <c r="O43" s="9">
        <v>46306</v>
      </c>
    </row>
    <row r="44" spans="1:15" ht="49.5" customHeight="1" x14ac:dyDescent="0.3">
      <c r="A44" s="5" t="s">
        <v>110</v>
      </c>
      <c r="B44" s="2" t="s">
        <v>95</v>
      </c>
      <c r="C44" s="5" t="s">
        <v>108</v>
      </c>
      <c r="D44" s="2" t="s">
        <v>439</v>
      </c>
      <c r="E44" s="2" t="s">
        <v>440</v>
      </c>
      <c r="F44" s="2" t="s">
        <v>441</v>
      </c>
      <c r="G44" s="2" t="s">
        <v>442</v>
      </c>
      <c r="H44" s="2" t="s">
        <v>443</v>
      </c>
      <c r="I44" s="7" t="s">
        <v>444</v>
      </c>
      <c r="J44" s="8" t="s">
        <v>164</v>
      </c>
      <c r="K44" s="5" t="s">
        <v>58</v>
      </c>
      <c r="L44" s="5" t="s">
        <v>181</v>
      </c>
      <c r="M44" s="5" t="s">
        <v>195</v>
      </c>
      <c r="N44" s="8" t="s">
        <v>245</v>
      </c>
      <c r="O44" s="9">
        <v>46306</v>
      </c>
    </row>
    <row r="45" spans="1:15" ht="37.6" customHeight="1" x14ac:dyDescent="0.3">
      <c r="A45" s="5" t="s">
        <v>113</v>
      </c>
      <c r="B45" s="2" t="s">
        <v>95</v>
      </c>
      <c r="C45" s="5" t="s">
        <v>111</v>
      </c>
      <c r="D45" s="2" t="s">
        <v>445</v>
      </c>
      <c r="E45" s="2" t="s">
        <v>440</v>
      </c>
      <c r="F45" s="2" t="s">
        <v>446</v>
      </c>
      <c r="G45" s="2" t="s">
        <v>447</v>
      </c>
      <c r="H45" s="2" t="s">
        <v>448</v>
      </c>
      <c r="I45" s="7" t="s">
        <v>449</v>
      </c>
      <c r="J45" s="8" t="s">
        <v>164</v>
      </c>
      <c r="K45" s="5" t="s">
        <v>58</v>
      </c>
      <c r="L45" s="5" t="s">
        <v>174</v>
      </c>
      <c r="M45" s="5" t="s">
        <v>166</v>
      </c>
      <c r="N45" s="8" t="s">
        <v>245</v>
      </c>
      <c r="O45" s="9">
        <v>46306</v>
      </c>
    </row>
    <row r="46" spans="1:15" ht="49.5" customHeight="1" x14ac:dyDescent="0.3">
      <c r="A46" s="5" t="s">
        <v>450</v>
      </c>
      <c r="B46" s="2" t="s">
        <v>115</v>
      </c>
      <c r="C46" s="5" t="s">
        <v>118</v>
      </c>
      <c r="D46" s="2" t="s">
        <v>451</v>
      </c>
      <c r="E46" s="2" t="s">
        <v>452</v>
      </c>
      <c r="F46" s="2" t="s">
        <v>453</v>
      </c>
      <c r="G46" s="2" t="s">
        <v>454</v>
      </c>
      <c r="H46" s="2" t="s">
        <v>455</v>
      </c>
      <c r="I46" s="7" t="s">
        <v>456</v>
      </c>
      <c r="J46" s="8" t="s">
        <v>164</v>
      </c>
      <c r="K46" s="5" t="s">
        <v>35</v>
      </c>
      <c r="L46" s="5" t="s">
        <v>174</v>
      </c>
      <c r="M46" s="5" t="s">
        <v>230</v>
      </c>
      <c r="N46" s="8" t="s">
        <v>16</v>
      </c>
      <c r="O46" s="9">
        <v>46306</v>
      </c>
    </row>
    <row r="47" spans="1:15" ht="49.5" customHeight="1" x14ac:dyDescent="0.3">
      <c r="A47" s="5" t="s">
        <v>457</v>
      </c>
      <c r="B47" s="2" t="s">
        <v>115</v>
      </c>
      <c r="C47" s="5" t="s">
        <v>118</v>
      </c>
      <c r="D47" s="2" t="s">
        <v>458</v>
      </c>
      <c r="E47" s="2" t="s">
        <v>459</v>
      </c>
      <c r="F47" s="2" t="s">
        <v>460</v>
      </c>
      <c r="G47" s="2" t="s">
        <v>461</v>
      </c>
      <c r="H47" s="2" t="s">
        <v>462</v>
      </c>
      <c r="I47" s="7" t="s">
        <v>463</v>
      </c>
      <c r="J47" s="8" t="s">
        <v>164</v>
      </c>
      <c r="K47" s="5" t="s">
        <v>35</v>
      </c>
      <c r="L47" s="5" t="s">
        <v>174</v>
      </c>
      <c r="M47" s="5" t="s">
        <v>230</v>
      </c>
      <c r="N47" s="8" t="s">
        <v>16</v>
      </c>
      <c r="O47" s="9">
        <v>46306</v>
      </c>
    </row>
    <row r="48" spans="1:15" ht="37.6" customHeight="1" x14ac:dyDescent="0.3">
      <c r="A48" s="5" t="s">
        <v>464</v>
      </c>
      <c r="B48" s="2" t="s">
        <v>115</v>
      </c>
      <c r="C48" s="5" t="s">
        <v>118</v>
      </c>
      <c r="D48" s="2" t="s">
        <v>465</v>
      </c>
      <c r="E48" s="2" t="s">
        <v>459</v>
      </c>
      <c r="F48" s="2" t="s">
        <v>466</v>
      </c>
      <c r="G48" s="2" t="s">
        <v>467</v>
      </c>
      <c r="H48" s="2" t="s">
        <v>468</v>
      </c>
      <c r="I48" s="7" t="s">
        <v>469</v>
      </c>
      <c r="J48" s="8" t="s">
        <v>164</v>
      </c>
      <c r="K48" s="5" t="s">
        <v>58</v>
      </c>
      <c r="L48" s="5" t="s">
        <v>174</v>
      </c>
      <c r="M48" s="5" t="s">
        <v>230</v>
      </c>
      <c r="N48" s="8" t="s">
        <v>16</v>
      </c>
      <c r="O48" s="9">
        <v>46306</v>
      </c>
    </row>
    <row r="49" spans="1:15" ht="49.5" customHeight="1" x14ac:dyDescent="0.3">
      <c r="A49" s="5" t="s">
        <v>470</v>
      </c>
      <c r="B49" s="2" t="s">
        <v>115</v>
      </c>
      <c r="C49" s="5" t="s">
        <v>118</v>
      </c>
      <c r="D49" s="2" t="s">
        <v>471</v>
      </c>
      <c r="E49" s="2" t="s">
        <v>459</v>
      </c>
      <c r="F49" s="2" t="s">
        <v>472</v>
      </c>
      <c r="G49" s="2" t="s">
        <v>473</v>
      </c>
      <c r="H49" s="2" t="s">
        <v>474</v>
      </c>
      <c r="I49" s="7" t="s">
        <v>475</v>
      </c>
      <c r="J49" s="8" t="s">
        <v>164</v>
      </c>
      <c r="K49" s="5" t="s">
        <v>35</v>
      </c>
      <c r="L49" s="5" t="s">
        <v>174</v>
      </c>
      <c r="M49" s="5" t="s">
        <v>306</v>
      </c>
      <c r="N49" s="8" t="s">
        <v>16</v>
      </c>
      <c r="O49" s="9">
        <v>46306</v>
      </c>
    </row>
    <row r="50" spans="1:15" ht="37.6" customHeight="1" x14ac:dyDescent="0.3">
      <c r="A50" s="5" t="s">
        <v>123</v>
      </c>
      <c r="B50" s="2" t="s">
        <v>115</v>
      </c>
      <c r="C50" s="5" t="s">
        <v>121</v>
      </c>
      <c r="D50" s="2" t="s">
        <v>476</v>
      </c>
      <c r="E50" s="2" t="s">
        <v>190</v>
      </c>
      <c r="F50" s="2" t="s">
        <v>477</v>
      </c>
      <c r="G50" s="2" t="s">
        <v>478</v>
      </c>
      <c r="H50" s="2" t="s">
        <v>479</v>
      </c>
      <c r="I50" s="7" t="s">
        <v>480</v>
      </c>
      <c r="J50" s="8" t="s">
        <v>164</v>
      </c>
      <c r="K50" s="5" t="s">
        <v>35</v>
      </c>
      <c r="L50" s="5" t="s">
        <v>174</v>
      </c>
      <c r="M50" s="5" t="s">
        <v>259</v>
      </c>
      <c r="N50" s="8" t="s">
        <v>16</v>
      </c>
      <c r="O50" s="9">
        <v>46306</v>
      </c>
    </row>
    <row r="51" spans="1:15" ht="49.5" customHeight="1" x14ac:dyDescent="0.3">
      <c r="A51" s="5" t="s">
        <v>481</v>
      </c>
      <c r="B51" s="2" t="s">
        <v>115</v>
      </c>
      <c r="C51" s="5" t="s">
        <v>118</v>
      </c>
      <c r="D51" s="2" t="s">
        <v>482</v>
      </c>
      <c r="E51" s="2" t="s">
        <v>459</v>
      </c>
      <c r="F51" s="2" t="s">
        <v>483</v>
      </c>
      <c r="G51" s="2" t="s">
        <v>484</v>
      </c>
      <c r="H51" s="2" t="s">
        <v>485</v>
      </c>
      <c r="I51" s="7" t="s">
        <v>486</v>
      </c>
      <c r="J51" s="8" t="s">
        <v>164</v>
      </c>
      <c r="K51" s="5" t="s">
        <v>58</v>
      </c>
      <c r="L51" s="5" t="s">
        <v>174</v>
      </c>
      <c r="M51" s="5" t="s">
        <v>230</v>
      </c>
      <c r="N51" s="8" t="s">
        <v>16</v>
      </c>
      <c r="O51" s="9">
        <v>46306</v>
      </c>
    </row>
    <row r="52" spans="1:15" ht="49.5" customHeight="1" x14ac:dyDescent="0.3">
      <c r="A52" s="5" t="s">
        <v>117</v>
      </c>
      <c r="B52" s="2" t="s">
        <v>115</v>
      </c>
      <c r="C52" s="5" t="s">
        <v>114</v>
      </c>
      <c r="D52" s="2" t="s">
        <v>487</v>
      </c>
      <c r="E52" s="2" t="s">
        <v>488</v>
      </c>
      <c r="F52" s="2" t="s">
        <v>489</v>
      </c>
      <c r="G52" s="2" t="s">
        <v>490</v>
      </c>
      <c r="H52" s="2" t="s">
        <v>491</v>
      </c>
      <c r="I52" s="7" t="s">
        <v>492</v>
      </c>
      <c r="J52" s="8" t="s">
        <v>164</v>
      </c>
      <c r="K52" s="5" t="s">
        <v>35</v>
      </c>
      <c r="L52" s="5" t="s">
        <v>174</v>
      </c>
      <c r="M52" s="5" t="s">
        <v>493</v>
      </c>
      <c r="N52" s="8" t="s">
        <v>16</v>
      </c>
      <c r="O52" s="9">
        <v>46307</v>
      </c>
    </row>
    <row r="53" spans="1:15" ht="49.5" customHeight="1" x14ac:dyDescent="0.3">
      <c r="A53" s="5" t="s">
        <v>126</v>
      </c>
      <c r="B53" s="2" t="s">
        <v>115</v>
      </c>
      <c r="C53" s="5" t="s">
        <v>124</v>
      </c>
      <c r="D53" s="2" t="s">
        <v>494</v>
      </c>
      <c r="E53" s="2" t="s">
        <v>495</v>
      </c>
      <c r="F53" s="2" t="s">
        <v>496</v>
      </c>
      <c r="G53" s="2" t="s">
        <v>497</v>
      </c>
      <c r="H53" s="2" t="s">
        <v>498</v>
      </c>
      <c r="I53" s="7" t="s">
        <v>499</v>
      </c>
      <c r="J53" s="8" t="s">
        <v>164</v>
      </c>
      <c r="K53" s="5" t="s">
        <v>35</v>
      </c>
      <c r="L53" s="5" t="s">
        <v>174</v>
      </c>
      <c r="M53" s="5" t="s">
        <v>195</v>
      </c>
      <c r="N53" s="8" t="s">
        <v>16</v>
      </c>
      <c r="O53" s="9">
        <v>46307</v>
      </c>
    </row>
    <row r="54" spans="1:15" ht="37.6" customHeight="1" x14ac:dyDescent="0.3">
      <c r="A54" s="5" t="s">
        <v>129</v>
      </c>
      <c r="B54" s="2" t="s">
        <v>115</v>
      </c>
      <c r="C54" s="5" t="s">
        <v>127</v>
      </c>
      <c r="D54" s="2" t="s">
        <v>500</v>
      </c>
      <c r="E54" s="2" t="s">
        <v>495</v>
      </c>
      <c r="F54" s="2" t="s">
        <v>501</v>
      </c>
      <c r="G54" s="2" t="s">
        <v>502</v>
      </c>
      <c r="H54" s="2" t="s">
        <v>503</v>
      </c>
      <c r="I54" s="7" t="s">
        <v>504</v>
      </c>
      <c r="J54" s="8" t="s">
        <v>164</v>
      </c>
      <c r="K54" s="5" t="s">
        <v>58</v>
      </c>
      <c r="L54" s="5" t="s">
        <v>181</v>
      </c>
      <c r="M54" s="5" t="s">
        <v>195</v>
      </c>
      <c r="N54" s="8" t="s">
        <v>16</v>
      </c>
      <c r="O54" s="9">
        <v>46307</v>
      </c>
    </row>
    <row r="55" spans="1:15" ht="37.6" customHeight="1" x14ac:dyDescent="0.3">
      <c r="A55" s="5" t="s">
        <v>133</v>
      </c>
      <c r="B55" s="2" t="s">
        <v>131</v>
      </c>
      <c r="C55" s="5" t="s">
        <v>130</v>
      </c>
      <c r="D55" s="2" t="s">
        <v>505</v>
      </c>
      <c r="E55" s="2" t="s">
        <v>506</v>
      </c>
      <c r="F55" s="2" t="s">
        <v>507</v>
      </c>
      <c r="G55" s="2" t="s">
        <v>242</v>
      </c>
      <c r="H55" s="2" t="s">
        <v>508</v>
      </c>
      <c r="I55" s="7" t="s">
        <v>509</v>
      </c>
      <c r="J55" s="8" t="s">
        <v>164</v>
      </c>
      <c r="K55" s="5" t="s">
        <v>35</v>
      </c>
      <c r="L55" s="5" t="s">
        <v>174</v>
      </c>
      <c r="M55" s="5" t="s">
        <v>195</v>
      </c>
      <c r="N55" s="8" t="s">
        <v>245</v>
      </c>
      <c r="O55" s="9">
        <v>46307</v>
      </c>
    </row>
    <row r="56" spans="1:15" ht="37.6" customHeight="1" x14ac:dyDescent="0.3">
      <c r="A56" s="5" t="s">
        <v>136</v>
      </c>
      <c r="B56" s="2" t="s">
        <v>131</v>
      </c>
      <c r="C56" s="5" t="s">
        <v>134</v>
      </c>
      <c r="D56" s="2" t="s">
        <v>510</v>
      </c>
      <c r="E56" s="2" t="s">
        <v>511</v>
      </c>
      <c r="F56" s="2" t="s">
        <v>512</v>
      </c>
      <c r="G56" s="2" t="s">
        <v>513</v>
      </c>
      <c r="H56" s="2" t="s">
        <v>514</v>
      </c>
      <c r="I56" s="7" t="s">
        <v>515</v>
      </c>
      <c r="J56" s="8" t="s">
        <v>164</v>
      </c>
      <c r="K56" s="5" t="s">
        <v>35</v>
      </c>
      <c r="L56" s="5" t="s">
        <v>174</v>
      </c>
      <c r="M56" s="5" t="s">
        <v>195</v>
      </c>
      <c r="N56" s="8" t="s">
        <v>245</v>
      </c>
      <c r="O56" s="9">
        <v>46307</v>
      </c>
    </row>
    <row r="57" spans="1:15" ht="24.75" customHeight="1" x14ac:dyDescent="0.3">
      <c r="A57" s="5" t="s">
        <v>139</v>
      </c>
      <c r="B57" s="2" t="s">
        <v>131</v>
      </c>
      <c r="C57" s="5" t="s">
        <v>137</v>
      </c>
      <c r="D57" s="2" t="s">
        <v>516</v>
      </c>
      <c r="E57" s="2" t="s">
        <v>517</v>
      </c>
      <c r="F57" s="2" t="s">
        <v>518</v>
      </c>
      <c r="G57" s="2" t="s">
        <v>192</v>
      </c>
      <c r="H57" s="2" t="s">
        <v>519</v>
      </c>
      <c r="I57" s="7" t="s">
        <v>520</v>
      </c>
      <c r="J57" s="8" t="s">
        <v>164</v>
      </c>
      <c r="K57" s="5" t="s">
        <v>58</v>
      </c>
      <c r="L57" s="5" t="s">
        <v>174</v>
      </c>
      <c r="M57" s="5" t="s">
        <v>195</v>
      </c>
      <c r="N57" s="8" t="s">
        <v>245</v>
      </c>
      <c r="O57" s="9">
        <v>46307</v>
      </c>
    </row>
    <row r="58" spans="1:15" ht="37.6" customHeight="1" x14ac:dyDescent="0.3">
      <c r="A58" s="5" t="s">
        <v>521</v>
      </c>
      <c r="B58" s="2" t="s">
        <v>131</v>
      </c>
      <c r="C58" s="5" t="s">
        <v>140</v>
      </c>
      <c r="D58" s="2" t="s">
        <v>522</v>
      </c>
      <c r="E58" s="2" t="s">
        <v>523</v>
      </c>
      <c r="F58" s="2" t="s">
        <v>524</v>
      </c>
      <c r="G58" s="2" t="s">
        <v>525</v>
      </c>
      <c r="H58" s="2" t="s">
        <v>526</v>
      </c>
      <c r="I58" s="7" t="s">
        <v>527</v>
      </c>
      <c r="J58" s="8" t="s">
        <v>164</v>
      </c>
      <c r="K58" s="5" t="s">
        <v>35</v>
      </c>
      <c r="L58" s="5" t="s">
        <v>174</v>
      </c>
      <c r="M58" s="5" t="s">
        <v>166</v>
      </c>
      <c r="N58" s="8" t="s">
        <v>245</v>
      </c>
      <c r="O58" s="9">
        <v>46307</v>
      </c>
    </row>
    <row r="59" spans="1:15" ht="37.6" customHeight="1" x14ac:dyDescent="0.3">
      <c r="A59" s="5" t="s">
        <v>528</v>
      </c>
      <c r="B59" s="2" t="s">
        <v>131</v>
      </c>
      <c r="C59" s="5" t="s">
        <v>140</v>
      </c>
      <c r="D59" s="2" t="s">
        <v>529</v>
      </c>
      <c r="E59" s="2" t="s">
        <v>393</v>
      </c>
      <c r="F59" s="2" t="s">
        <v>530</v>
      </c>
      <c r="G59" s="2" t="s">
        <v>531</v>
      </c>
      <c r="H59" s="2" t="s">
        <v>532</v>
      </c>
      <c r="I59" s="7" t="s">
        <v>533</v>
      </c>
      <c r="J59" s="8" t="s">
        <v>164</v>
      </c>
      <c r="K59" s="5" t="s">
        <v>103</v>
      </c>
      <c r="L59" s="5" t="s">
        <v>534</v>
      </c>
      <c r="M59" s="5" t="s">
        <v>182</v>
      </c>
      <c r="N59" s="8" t="s">
        <v>245</v>
      </c>
      <c r="O59" s="9">
        <v>46307</v>
      </c>
    </row>
    <row r="60" spans="1:15" ht="37.6" customHeight="1" x14ac:dyDescent="0.3">
      <c r="A60" s="5" t="s">
        <v>535</v>
      </c>
      <c r="B60" s="2" t="s">
        <v>131</v>
      </c>
      <c r="C60" s="5" t="s">
        <v>143</v>
      </c>
      <c r="D60" s="2" t="s">
        <v>536</v>
      </c>
      <c r="E60" s="2" t="s">
        <v>523</v>
      </c>
      <c r="F60" s="2" t="s">
        <v>537</v>
      </c>
      <c r="G60" s="2" t="s">
        <v>538</v>
      </c>
      <c r="H60" s="2" t="s">
        <v>539</v>
      </c>
      <c r="I60" s="7" t="s">
        <v>540</v>
      </c>
      <c r="J60" s="8" t="s">
        <v>164</v>
      </c>
      <c r="K60" s="5" t="s">
        <v>35</v>
      </c>
      <c r="L60" s="5" t="s">
        <v>174</v>
      </c>
      <c r="M60" s="5" t="s">
        <v>166</v>
      </c>
      <c r="N60" s="8" t="s">
        <v>245</v>
      </c>
      <c r="O60" s="9">
        <v>46307</v>
      </c>
    </row>
    <row r="61" spans="1:15" ht="37.6" customHeight="1" x14ac:dyDescent="0.3">
      <c r="A61" s="5" t="s">
        <v>541</v>
      </c>
      <c r="B61" s="2" t="s">
        <v>131</v>
      </c>
      <c r="C61" s="5" t="s">
        <v>143</v>
      </c>
      <c r="D61" s="2" t="s">
        <v>542</v>
      </c>
      <c r="E61" s="2" t="s">
        <v>523</v>
      </c>
      <c r="F61" s="2" t="s">
        <v>543</v>
      </c>
      <c r="G61" s="2" t="s">
        <v>544</v>
      </c>
      <c r="H61" s="2" t="s">
        <v>545</v>
      </c>
      <c r="I61" s="7" t="s">
        <v>546</v>
      </c>
      <c r="J61" s="8" t="s">
        <v>164</v>
      </c>
      <c r="K61" s="5" t="s">
        <v>58</v>
      </c>
      <c r="L61" s="5" t="s">
        <v>181</v>
      </c>
      <c r="M61" s="5" t="s">
        <v>166</v>
      </c>
      <c r="N61" s="8" t="s">
        <v>245</v>
      </c>
      <c r="O61" s="9">
        <v>46307</v>
      </c>
    </row>
    <row r="62" spans="1:15" ht="75" customHeight="1" x14ac:dyDescent="0.3">
      <c r="A62" s="5" t="s">
        <v>547</v>
      </c>
      <c r="B62" s="2" t="s">
        <v>73</v>
      </c>
      <c r="C62" s="5" t="s">
        <v>88</v>
      </c>
      <c r="D62" s="2" t="s">
        <v>548</v>
      </c>
      <c r="E62" s="2" t="s">
        <v>198</v>
      </c>
      <c r="F62" s="2" t="s">
        <v>549</v>
      </c>
      <c r="G62" s="2" t="s">
        <v>550</v>
      </c>
      <c r="H62" s="2" t="s">
        <v>551</v>
      </c>
      <c r="I62" s="7" t="s">
        <v>552</v>
      </c>
      <c r="J62" s="8" t="s">
        <v>438</v>
      </c>
      <c r="K62" s="5" t="s">
        <v>103</v>
      </c>
      <c r="L62" s="5" t="s">
        <v>181</v>
      </c>
      <c r="M62" s="5" t="s">
        <v>286</v>
      </c>
      <c r="N62" s="8" t="s">
        <v>16</v>
      </c>
      <c r="O62" s="9">
        <v>46306</v>
      </c>
    </row>
    <row r="63" spans="1:15" ht="62.3" customHeight="1" x14ac:dyDescent="0.3">
      <c r="A63" s="5" t="s">
        <v>553</v>
      </c>
      <c r="B63" s="2" t="s">
        <v>73</v>
      </c>
      <c r="C63" s="5" t="s">
        <v>91</v>
      </c>
      <c r="D63" s="2" t="s">
        <v>554</v>
      </c>
      <c r="E63" s="2" t="s">
        <v>198</v>
      </c>
      <c r="F63" s="2" t="s">
        <v>555</v>
      </c>
      <c r="G63" s="2" t="s">
        <v>556</v>
      </c>
      <c r="H63" s="2" t="s">
        <v>557</v>
      </c>
      <c r="I63" s="7" t="s">
        <v>558</v>
      </c>
      <c r="J63" s="8" t="s">
        <v>438</v>
      </c>
      <c r="K63" s="5" t="s">
        <v>58</v>
      </c>
      <c r="L63" s="5" t="s">
        <v>174</v>
      </c>
      <c r="M63" s="5" t="s">
        <v>559</v>
      </c>
      <c r="N63" s="8" t="s">
        <v>16</v>
      </c>
      <c r="O63" s="9">
        <v>46306</v>
      </c>
    </row>
    <row r="64" spans="1:15" ht="62.3" customHeight="1" x14ac:dyDescent="0.3">
      <c r="A64" s="5" t="s">
        <v>560</v>
      </c>
      <c r="B64" s="2" t="s">
        <v>73</v>
      </c>
      <c r="C64" s="5" t="s">
        <v>91</v>
      </c>
      <c r="D64" s="2" t="s">
        <v>561</v>
      </c>
      <c r="E64" s="2" t="s">
        <v>198</v>
      </c>
      <c r="F64" s="2" t="s">
        <v>562</v>
      </c>
      <c r="G64" s="2" t="s">
        <v>563</v>
      </c>
      <c r="H64" s="2" t="s">
        <v>564</v>
      </c>
      <c r="I64" s="7" t="s">
        <v>565</v>
      </c>
      <c r="J64" s="8" t="s">
        <v>438</v>
      </c>
      <c r="K64" s="5" t="s">
        <v>103</v>
      </c>
      <c r="L64" s="5" t="s">
        <v>181</v>
      </c>
      <c r="M64" s="5" t="s">
        <v>286</v>
      </c>
      <c r="N64" s="8" t="s">
        <v>16</v>
      </c>
      <c r="O64" s="9">
        <v>46306</v>
      </c>
    </row>
    <row r="65" spans="1:15" ht="62.3" customHeight="1" x14ac:dyDescent="0.3">
      <c r="A65" s="5" t="s">
        <v>566</v>
      </c>
      <c r="B65" s="2" t="s">
        <v>73</v>
      </c>
      <c r="C65" s="5" t="s">
        <v>91</v>
      </c>
      <c r="D65" s="2" t="s">
        <v>567</v>
      </c>
      <c r="E65" s="2" t="s">
        <v>198</v>
      </c>
      <c r="F65" s="2" t="s">
        <v>568</v>
      </c>
      <c r="G65" s="2" t="s">
        <v>569</v>
      </c>
      <c r="H65" s="2" t="s">
        <v>570</v>
      </c>
      <c r="I65" s="7" t="s">
        <v>571</v>
      </c>
      <c r="J65" s="8" t="s">
        <v>438</v>
      </c>
      <c r="K65" s="5" t="s">
        <v>103</v>
      </c>
      <c r="L65" s="5" t="s">
        <v>181</v>
      </c>
      <c r="M65" s="5" t="s">
        <v>166</v>
      </c>
      <c r="N65" s="8" t="s">
        <v>16</v>
      </c>
      <c r="O65" s="9">
        <v>46306</v>
      </c>
    </row>
    <row r="66" spans="1:15" ht="62.3" customHeight="1" x14ac:dyDescent="0.3">
      <c r="A66" s="5" t="s">
        <v>572</v>
      </c>
      <c r="B66" s="2" t="s">
        <v>73</v>
      </c>
      <c r="C66" s="5" t="s">
        <v>91</v>
      </c>
      <c r="D66" s="2" t="s">
        <v>573</v>
      </c>
      <c r="E66" s="2" t="s">
        <v>198</v>
      </c>
      <c r="F66" s="2" t="s">
        <v>574</v>
      </c>
      <c r="G66" s="2" t="s">
        <v>575</v>
      </c>
      <c r="H66" s="2" t="s">
        <v>576</v>
      </c>
      <c r="I66" s="7" t="s">
        <v>577</v>
      </c>
      <c r="J66" s="8" t="s">
        <v>164</v>
      </c>
      <c r="K66" s="5" t="s">
        <v>103</v>
      </c>
      <c r="L66" s="5" t="s">
        <v>534</v>
      </c>
      <c r="M66" s="5" t="s">
        <v>209</v>
      </c>
      <c r="N66" s="8" t="s">
        <v>16</v>
      </c>
      <c r="O66" s="9">
        <v>46306</v>
      </c>
    </row>
    <row r="67" spans="1:15" ht="87.05" customHeight="1" x14ac:dyDescent="0.3">
      <c r="A67" s="5" t="s">
        <v>578</v>
      </c>
      <c r="B67" s="2" t="s">
        <v>33</v>
      </c>
      <c r="C67" s="5" t="s">
        <v>46</v>
      </c>
      <c r="D67" s="2" t="s">
        <v>579</v>
      </c>
      <c r="E67" s="2" t="s">
        <v>580</v>
      </c>
      <c r="F67" s="2" t="s">
        <v>581</v>
      </c>
      <c r="G67" s="2" t="s">
        <v>582</v>
      </c>
      <c r="H67" s="2" t="s">
        <v>583</v>
      </c>
      <c r="I67" s="7" t="s">
        <v>584</v>
      </c>
      <c r="J67" s="8" t="s">
        <v>438</v>
      </c>
      <c r="K67" s="5" t="s">
        <v>58</v>
      </c>
      <c r="L67" s="5" t="s">
        <v>181</v>
      </c>
      <c r="M67" s="5" t="s">
        <v>230</v>
      </c>
      <c r="N67" s="8" t="s">
        <v>16</v>
      </c>
      <c r="O67" s="9">
        <v>46306</v>
      </c>
    </row>
    <row r="68" spans="1:15" ht="49.5" customHeight="1" x14ac:dyDescent="0.3">
      <c r="A68" s="5" t="s">
        <v>585</v>
      </c>
      <c r="B68" s="2" t="s">
        <v>95</v>
      </c>
      <c r="C68" s="5" t="s">
        <v>98</v>
      </c>
      <c r="D68" s="2" t="s">
        <v>586</v>
      </c>
      <c r="E68" s="2" t="s">
        <v>587</v>
      </c>
      <c r="F68" s="2" t="s">
        <v>588</v>
      </c>
      <c r="G68" s="2" t="s">
        <v>589</v>
      </c>
      <c r="H68" s="2" t="s">
        <v>590</v>
      </c>
      <c r="I68" s="7" t="s">
        <v>591</v>
      </c>
      <c r="J68" s="8" t="s">
        <v>438</v>
      </c>
      <c r="K68" s="5" t="s">
        <v>58</v>
      </c>
      <c r="L68" s="5" t="s">
        <v>181</v>
      </c>
      <c r="M68" s="5" t="s">
        <v>559</v>
      </c>
      <c r="N68" s="8" t="s">
        <v>245</v>
      </c>
      <c r="O68" s="9">
        <v>46306</v>
      </c>
    </row>
  </sheetData>
  <autoFilter ref="A1:O68" xr:uid="{00000000-0009-0000-0000-000002000000}"/>
  <conditionalFormatting sqref="J2:J300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3">
    <dataValidation type="list" sqref="J2:J300" xr:uid="{00000000-0002-0000-0200-000000000000}">
      <formula1>"Pass,Fail,Blocked,Not Executed"</formula1>
      <formula2>0</formula2>
    </dataValidation>
    <dataValidation type="list" allowBlank="1" sqref="K2:K300" xr:uid="{00000000-0002-0000-0200-000001000000}">
      <formula1>"High,Medium,Low"</formula1>
      <formula2>0</formula2>
    </dataValidation>
    <dataValidation type="list" allowBlank="1" sqref="L2:L300" xr:uid="{00000000-0002-0000-0200-000002000000}">
      <formula1>"Critical,Major,Minor,Trivial"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zoomScale="52" zoomScaleNormal="52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R9" sqref="R9"/>
    </sheetView>
  </sheetViews>
  <sheetFormatPr defaultColWidth="8.6640625" defaultRowHeight="15.05" x14ac:dyDescent="0.3"/>
  <cols>
    <col min="1" max="1" width="11" customWidth="1"/>
    <col min="2" max="2" width="34" customWidth="1"/>
    <col min="3" max="3" width="22" customWidth="1"/>
    <col min="4" max="4" width="12" customWidth="1"/>
    <col min="5" max="5" width="44" customWidth="1"/>
    <col min="6" max="7" width="34" customWidth="1"/>
    <col min="8" max="9" width="10" customWidth="1"/>
    <col min="10" max="10" width="11" customWidth="1"/>
    <col min="11" max="11" width="14" customWidth="1"/>
    <col min="12" max="12" width="12" customWidth="1"/>
    <col min="13" max="13" width="14" customWidth="1"/>
    <col min="14" max="14" width="28" customWidth="1"/>
    <col min="15" max="15" width="60" customWidth="1"/>
    <col min="16" max="16" width="12" customWidth="1"/>
  </cols>
  <sheetData>
    <row r="1" spans="1:16" ht="25.55" customHeight="1" x14ac:dyDescent="0.3">
      <c r="A1" s="1" t="s">
        <v>592</v>
      </c>
      <c r="B1" s="1" t="s">
        <v>593</v>
      </c>
      <c r="C1" s="1" t="s">
        <v>24</v>
      </c>
      <c r="D1" s="1" t="s">
        <v>594</v>
      </c>
      <c r="E1" s="1" t="s">
        <v>595</v>
      </c>
      <c r="F1" s="1" t="s">
        <v>152</v>
      </c>
      <c r="G1" s="1" t="s">
        <v>153</v>
      </c>
      <c r="H1" s="1" t="s">
        <v>154</v>
      </c>
      <c r="I1" s="1" t="s">
        <v>26</v>
      </c>
      <c r="J1" s="1" t="s">
        <v>4</v>
      </c>
      <c r="K1" s="1" t="s">
        <v>596</v>
      </c>
      <c r="L1" s="1" t="s">
        <v>597</v>
      </c>
      <c r="M1" s="1" t="s">
        <v>598</v>
      </c>
      <c r="N1" s="1" t="s">
        <v>599</v>
      </c>
      <c r="O1" s="1" t="s">
        <v>600</v>
      </c>
      <c r="P1" s="1" t="s">
        <v>601</v>
      </c>
    </row>
    <row r="2" spans="1:16" ht="112.55" customHeight="1" x14ac:dyDescent="0.3">
      <c r="A2" s="8" t="s">
        <v>602</v>
      </c>
      <c r="B2" s="7" t="s">
        <v>603</v>
      </c>
      <c r="C2" s="7" t="s">
        <v>73</v>
      </c>
      <c r="D2" s="8" t="s">
        <v>553</v>
      </c>
      <c r="E2" s="7" t="s">
        <v>604</v>
      </c>
      <c r="F2" s="7" t="s">
        <v>605</v>
      </c>
      <c r="G2" s="7" t="s">
        <v>606</v>
      </c>
      <c r="H2" s="8" t="s">
        <v>174</v>
      </c>
      <c r="I2" s="8" t="s">
        <v>58</v>
      </c>
      <c r="J2" s="8" t="s">
        <v>607</v>
      </c>
      <c r="K2" s="8" t="s">
        <v>608</v>
      </c>
      <c r="L2" s="8" t="s">
        <v>16</v>
      </c>
      <c r="M2" s="9">
        <v>46306</v>
      </c>
      <c r="N2" s="7" t="s">
        <v>609</v>
      </c>
      <c r="O2" s="7" t="s">
        <v>610</v>
      </c>
      <c r="P2" s="32">
        <f>IF(A2="","",IFERROR((4-MATCH(H2,{"Critical","Major","Minor","Trivial"},0))*10+(4-MATCH(I2,{"High","Medium","Low"},0))+(100-ROW())/1000,0))</f>
        <v>22.097999999999999</v>
      </c>
    </row>
    <row r="3" spans="1:16" ht="75" customHeight="1" x14ac:dyDescent="0.3">
      <c r="A3" s="8" t="s">
        <v>611</v>
      </c>
      <c r="B3" s="7" t="s">
        <v>612</v>
      </c>
      <c r="C3" s="7" t="s">
        <v>73</v>
      </c>
      <c r="D3" s="8" t="s">
        <v>547</v>
      </c>
      <c r="E3" s="7" t="s">
        <v>613</v>
      </c>
      <c r="F3" s="7" t="s">
        <v>614</v>
      </c>
      <c r="G3" s="7" t="s">
        <v>615</v>
      </c>
      <c r="H3" s="8" t="s">
        <v>181</v>
      </c>
      <c r="I3" s="8" t="s">
        <v>103</v>
      </c>
      <c r="J3" s="8" t="s">
        <v>607</v>
      </c>
      <c r="K3" s="8" t="s">
        <v>616</v>
      </c>
      <c r="L3" s="8" t="s">
        <v>16</v>
      </c>
      <c r="M3" s="9">
        <v>46306</v>
      </c>
      <c r="N3" s="7" t="s">
        <v>617</v>
      </c>
      <c r="O3" s="7" t="s">
        <v>618</v>
      </c>
      <c r="P3" s="26">
        <f>IF(A3="","",IFERROR((4-MATCH(H3,{"Critical","Major","Minor","Trivial"},0))*10+(4-MATCH(I3,{"High","Medium","Low"},0))+(100-ROW())/1000,0))</f>
        <v>11.097</v>
      </c>
    </row>
    <row r="4" spans="1:16" ht="124.45" customHeight="1" x14ac:dyDescent="0.3">
      <c r="A4" s="8" t="s">
        <v>619</v>
      </c>
      <c r="B4" s="7" t="s">
        <v>620</v>
      </c>
      <c r="C4" s="7" t="s">
        <v>73</v>
      </c>
      <c r="D4" s="8" t="s">
        <v>560</v>
      </c>
      <c r="E4" s="7" t="s">
        <v>621</v>
      </c>
      <c r="F4" s="7" t="s">
        <v>564</v>
      </c>
      <c r="G4" s="7" t="s">
        <v>622</v>
      </c>
      <c r="H4" s="8" t="s">
        <v>181</v>
      </c>
      <c r="I4" s="8" t="s">
        <v>103</v>
      </c>
      <c r="J4" s="8" t="s">
        <v>607</v>
      </c>
      <c r="K4" s="8" t="s">
        <v>623</v>
      </c>
      <c r="L4" s="8" t="s">
        <v>16</v>
      </c>
      <c r="M4" s="9">
        <v>46306</v>
      </c>
      <c r="N4" s="7" t="s">
        <v>624</v>
      </c>
      <c r="O4" s="7" t="s">
        <v>625</v>
      </c>
      <c r="P4" s="26">
        <f>IF(A4="","",IFERROR((4-MATCH(H4,{"Critical","Major","Minor","Trivial"},0))*10+(4-MATCH(I4,{"High","Medium","Low"},0))+(100-ROW())/1000,0))</f>
        <v>11.096</v>
      </c>
    </row>
    <row r="5" spans="1:16" ht="124.45" customHeight="1" x14ac:dyDescent="0.3">
      <c r="A5" s="8" t="s">
        <v>626</v>
      </c>
      <c r="B5" s="7" t="s">
        <v>627</v>
      </c>
      <c r="C5" s="7" t="s">
        <v>73</v>
      </c>
      <c r="D5" s="8" t="s">
        <v>566</v>
      </c>
      <c r="E5" s="7" t="s">
        <v>628</v>
      </c>
      <c r="F5" s="7" t="s">
        <v>629</v>
      </c>
      <c r="G5" s="7" t="s">
        <v>630</v>
      </c>
      <c r="H5" s="8" t="s">
        <v>181</v>
      </c>
      <c r="I5" s="8" t="s">
        <v>103</v>
      </c>
      <c r="J5" s="8" t="s">
        <v>607</v>
      </c>
      <c r="K5" s="8" t="s">
        <v>631</v>
      </c>
      <c r="L5" s="8" t="s">
        <v>16</v>
      </c>
      <c r="M5" s="9">
        <v>46306</v>
      </c>
      <c r="N5" s="7" t="s">
        <v>632</v>
      </c>
      <c r="O5" s="7" t="s">
        <v>633</v>
      </c>
      <c r="P5" s="26">
        <f>IF(A5="","",IFERROR((4-MATCH(H5,{"Critical","Major","Minor","Trivial"},0))*10+(4-MATCH(I5,{"High","Medium","Low"},0))+(100-ROW())/1000,0))</f>
        <v>11.095000000000001</v>
      </c>
    </row>
    <row r="6" spans="1:16" ht="137.15" customHeight="1" x14ac:dyDescent="0.3">
      <c r="A6" s="8" t="s">
        <v>634</v>
      </c>
      <c r="B6" s="7" t="s">
        <v>635</v>
      </c>
      <c r="C6" s="7" t="s">
        <v>33</v>
      </c>
      <c r="D6" s="8" t="s">
        <v>578</v>
      </c>
      <c r="E6" s="7" t="s">
        <v>636</v>
      </c>
      <c r="F6" s="7" t="s">
        <v>583</v>
      </c>
      <c r="G6" s="7" t="s">
        <v>637</v>
      </c>
      <c r="H6" s="8" t="s">
        <v>181</v>
      </c>
      <c r="I6" s="8" t="s">
        <v>58</v>
      </c>
      <c r="J6" s="8" t="s">
        <v>607</v>
      </c>
      <c r="K6" s="8" t="s">
        <v>638</v>
      </c>
      <c r="L6" s="8" t="s">
        <v>16</v>
      </c>
      <c r="M6" s="9">
        <v>46306</v>
      </c>
      <c r="N6" s="7" t="s">
        <v>639</v>
      </c>
      <c r="O6" s="7" t="s">
        <v>640</v>
      </c>
      <c r="P6" s="26">
        <f>IF(A6="","",IFERROR((4-MATCH(H6,{"Critical","Major","Minor","Trivial"},0))*10+(4-MATCH(I6,{"High","Medium","Low"},0))+(100-ROW())/1000,0))</f>
        <v>12.093999999999999</v>
      </c>
    </row>
    <row r="7" spans="1:16" ht="3.15" customHeight="1" x14ac:dyDescent="0.3">
      <c r="A7" s="8"/>
      <c r="B7" s="7"/>
      <c r="C7" s="7"/>
      <c r="D7" s="8"/>
      <c r="E7" s="7"/>
      <c r="F7" s="7"/>
      <c r="G7" s="7"/>
      <c r="H7" s="8"/>
      <c r="I7" s="8"/>
      <c r="J7" s="8"/>
      <c r="K7" s="8"/>
      <c r="L7" s="8"/>
      <c r="M7" s="9"/>
      <c r="N7" s="7"/>
      <c r="O7" s="7"/>
      <c r="P7" s="26"/>
    </row>
    <row r="8" spans="1:16" ht="62.3" customHeight="1" x14ac:dyDescent="0.3">
      <c r="A8" s="8" t="s">
        <v>641</v>
      </c>
      <c r="B8" s="7" t="s">
        <v>642</v>
      </c>
      <c r="C8" s="7" t="s">
        <v>95</v>
      </c>
      <c r="D8" s="8" t="s">
        <v>431</v>
      </c>
      <c r="E8" s="7" t="s">
        <v>643</v>
      </c>
      <c r="F8" s="7" t="s">
        <v>644</v>
      </c>
      <c r="G8" s="7" t="s">
        <v>645</v>
      </c>
      <c r="H8" s="8" t="s">
        <v>181</v>
      </c>
      <c r="I8" s="8" t="s">
        <v>103</v>
      </c>
      <c r="J8" s="8" t="s">
        <v>607</v>
      </c>
      <c r="K8" s="8" t="s">
        <v>646</v>
      </c>
      <c r="L8" s="8" t="s">
        <v>245</v>
      </c>
      <c r="M8" s="9">
        <v>46306</v>
      </c>
      <c r="N8" s="7" t="s">
        <v>647</v>
      </c>
      <c r="O8" s="7" t="s">
        <v>648</v>
      </c>
      <c r="P8" s="26">
        <f>IF(A8="","",IFERROR((4-MATCH(H8,{"Critical","Major","Minor","Trivial"},0))*10+(4-MATCH(I8,{"High","Medium","Low"},0))+(100-ROW())/1000,0))</f>
        <v>11.092000000000001</v>
      </c>
    </row>
    <row r="9" spans="1:16" ht="49.5" customHeight="1" x14ac:dyDescent="0.3">
      <c r="A9" s="8" t="s">
        <v>649</v>
      </c>
      <c r="B9" s="7" t="s">
        <v>650</v>
      </c>
      <c r="C9" s="7" t="s">
        <v>95</v>
      </c>
      <c r="D9" s="8" t="s">
        <v>585</v>
      </c>
      <c r="E9" s="7" t="s">
        <v>588</v>
      </c>
      <c r="F9" s="7" t="s">
        <v>651</v>
      </c>
      <c r="G9" s="7" t="s">
        <v>591</v>
      </c>
      <c r="H9" s="8" t="s">
        <v>181</v>
      </c>
      <c r="I9" s="8" t="s">
        <v>58</v>
      </c>
      <c r="J9" s="8" t="s">
        <v>607</v>
      </c>
      <c r="K9" s="8" t="s">
        <v>652</v>
      </c>
      <c r="L9" s="8" t="s">
        <v>245</v>
      </c>
      <c r="M9" s="9">
        <v>46306</v>
      </c>
      <c r="N9" s="7" t="s">
        <v>653</v>
      </c>
      <c r="O9" s="7" t="s">
        <v>654</v>
      </c>
      <c r="P9" s="26">
        <f>IF(A9="","",IFERROR((4-MATCH(H9,{"Critical","Major","Minor","Trivial"},0))*10+(4-MATCH(I9,{"High","Medium","Low"},0))+(100-ROW())/1000,0))</f>
        <v>12.090999999999999</v>
      </c>
    </row>
    <row r="10" spans="1:16" s="31" customFormat="1" x14ac:dyDescent="0.3">
      <c r="A10" s="27"/>
      <c r="B10" s="28"/>
      <c r="C10" s="28"/>
      <c r="D10" s="27"/>
      <c r="E10" s="28"/>
      <c r="F10" s="28"/>
      <c r="G10" s="28"/>
      <c r="H10" s="27"/>
      <c r="I10" s="27"/>
      <c r="J10" s="27"/>
      <c r="K10" s="27"/>
      <c r="L10" s="27"/>
      <c r="M10" s="29"/>
      <c r="N10" s="28"/>
      <c r="O10" s="28"/>
      <c r="P10" s="30" t="str">
        <f>IF(A10="","",IFERROR((4-MATCH(H10,{"Critical","Major","Minor","Trivial"},0))*10+(4-MATCH(I10,{"High","Medium","Low"},0))+(100-ROW())/1000,0))</f>
        <v/>
      </c>
    </row>
    <row r="11" spans="1:16" s="31" customFormat="1" x14ac:dyDescent="0.3">
      <c r="A11" s="27"/>
      <c r="B11" s="28"/>
      <c r="C11" s="28"/>
      <c r="D11" s="27"/>
      <c r="E11" s="28"/>
      <c r="F11" s="28"/>
      <c r="G11" s="28"/>
      <c r="H11" s="27"/>
      <c r="I11" s="27"/>
      <c r="J11" s="27"/>
      <c r="K11" s="27"/>
      <c r="L11" s="27"/>
      <c r="M11" s="29"/>
      <c r="N11" s="28"/>
      <c r="O11" s="28"/>
      <c r="P11" s="30" t="str">
        <f>IF(A11="","",IFERROR((4-MATCH(H11,{"Critical","Major","Minor","Trivial"},0))*10+(4-MATCH(I11,{"High","Medium","Low"},0))+(100-ROW())/1000,0))</f>
        <v/>
      </c>
    </row>
    <row r="12" spans="1:16" s="31" customFormat="1" x14ac:dyDescent="0.3">
      <c r="A12" s="27"/>
      <c r="B12" s="28"/>
      <c r="C12" s="28"/>
      <c r="D12" s="27"/>
      <c r="E12" s="28"/>
      <c r="F12" s="28"/>
      <c r="G12" s="28"/>
      <c r="H12" s="27"/>
      <c r="I12" s="27"/>
      <c r="J12" s="27"/>
      <c r="K12" s="27"/>
      <c r="L12" s="27"/>
      <c r="M12" s="29"/>
      <c r="N12" s="28"/>
      <c r="O12" s="28"/>
      <c r="P12" s="30" t="str">
        <f>IF(A12="","",IFERROR((4-MATCH(H12,{"Critical","Major","Minor","Trivial"},0))*10+(4-MATCH(I12,{"High","Medium","Low"},0))+(100-ROW())/1000,0))</f>
        <v/>
      </c>
    </row>
    <row r="13" spans="1:16" s="31" customFormat="1" x14ac:dyDescent="0.3">
      <c r="A13" s="27"/>
      <c r="B13" s="28"/>
      <c r="C13" s="28"/>
      <c r="D13" s="27"/>
      <c r="E13" s="28"/>
      <c r="F13" s="28"/>
      <c r="G13" s="28"/>
      <c r="H13" s="27"/>
      <c r="I13" s="27"/>
      <c r="J13" s="27"/>
      <c r="K13" s="27"/>
      <c r="L13" s="27"/>
      <c r="M13" s="29"/>
      <c r="N13" s="28"/>
      <c r="O13" s="28"/>
      <c r="P13" s="30" t="str">
        <f>IF(A13="","",IFERROR((4-MATCH(H13,{"Critical","Major","Minor","Trivial"},0))*10+(4-MATCH(I13,{"High","Medium","Low"},0))+(100-ROW())/1000,0))</f>
        <v/>
      </c>
    </row>
    <row r="14" spans="1:16" s="31" customFormat="1" x14ac:dyDescent="0.3">
      <c r="A14" s="27"/>
      <c r="B14" s="28"/>
      <c r="C14" s="28"/>
      <c r="D14" s="27"/>
      <c r="E14" s="28"/>
      <c r="F14" s="28"/>
      <c r="G14" s="28"/>
      <c r="H14" s="27"/>
      <c r="I14" s="27"/>
      <c r="J14" s="27"/>
      <c r="K14" s="27"/>
      <c r="L14" s="27"/>
      <c r="M14" s="29"/>
      <c r="N14" s="28"/>
      <c r="O14" s="28"/>
      <c r="P14" s="30" t="str">
        <f>IF(A14="","",IFERROR((4-MATCH(H14,{"Critical","Major","Minor","Trivial"},0))*10+(4-MATCH(I14,{"High","Medium","Low"},0))+(100-ROW())/1000,0))</f>
        <v/>
      </c>
    </row>
    <row r="15" spans="1:16" s="31" customFormat="1" x14ac:dyDescent="0.3">
      <c r="A15" s="27"/>
      <c r="B15" s="28"/>
      <c r="C15" s="28"/>
      <c r="D15" s="27"/>
      <c r="E15" s="28"/>
      <c r="F15" s="28"/>
      <c r="G15" s="28"/>
      <c r="H15" s="27"/>
      <c r="I15" s="27"/>
      <c r="J15" s="27"/>
      <c r="K15" s="27"/>
      <c r="L15" s="27"/>
      <c r="M15" s="29"/>
      <c r="N15" s="28"/>
      <c r="O15" s="28"/>
      <c r="P15" s="30" t="str">
        <f>IF(A15="","",IFERROR((4-MATCH(H15,{"Critical","Major","Minor","Trivial"},0))*10+(4-MATCH(I15,{"High","Medium","Low"},0))+(100-ROW())/1000,0))</f>
        <v/>
      </c>
    </row>
    <row r="16" spans="1:16" s="31" customFormat="1" x14ac:dyDescent="0.3">
      <c r="A16" s="27"/>
      <c r="B16" s="28"/>
      <c r="C16" s="28"/>
      <c r="D16" s="27"/>
      <c r="E16" s="28"/>
      <c r="F16" s="28"/>
      <c r="G16" s="28"/>
      <c r="H16" s="27"/>
      <c r="I16" s="27"/>
      <c r="J16" s="27"/>
      <c r="K16" s="27"/>
      <c r="L16" s="27"/>
      <c r="M16" s="29"/>
      <c r="N16" s="28"/>
      <c r="O16" s="28"/>
      <c r="P16" s="30" t="str">
        <f>IF(A16="","",IFERROR((4-MATCH(H16,{"Critical","Major","Minor","Trivial"},0))*10+(4-MATCH(I16,{"High","Medium","Low"},0))+(100-ROW())/1000,0))</f>
        <v/>
      </c>
    </row>
    <row r="17" spans="1:16" s="31" customFormat="1" x14ac:dyDescent="0.3">
      <c r="A17" s="27"/>
      <c r="B17" s="28"/>
      <c r="C17" s="28"/>
      <c r="D17" s="27"/>
      <c r="E17" s="28"/>
      <c r="F17" s="28"/>
      <c r="G17" s="28"/>
      <c r="H17" s="27"/>
      <c r="I17" s="27"/>
      <c r="J17" s="27"/>
      <c r="K17" s="27"/>
      <c r="L17" s="27"/>
      <c r="M17" s="29"/>
      <c r="N17" s="28"/>
      <c r="O17" s="28"/>
      <c r="P17" s="30" t="str">
        <f>IF(A17="","",IFERROR((4-MATCH(H17,{"Critical","Major","Minor","Trivial"},0))*10+(4-MATCH(I17,{"High","Medium","Low"},0))+(100-ROW())/1000,0))</f>
        <v/>
      </c>
    </row>
    <row r="18" spans="1:16" s="31" customFormat="1" x14ac:dyDescent="0.3">
      <c r="A18" s="27"/>
      <c r="B18" s="28"/>
      <c r="C18" s="28"/>
      <c r="D18" s="27"/>
      <c r="E18" s="28"/>
      <c r="F18" s="28"/>
      <c r="G18" s="28"/>
      <c r="H18" s="27"/>
      <c r="I18" s="27"/>
      <c r="J18" s="27"/>
      <c r="K18" s="27"/>
      <c r="L18" s="27"/>
      <c r="M18" s="29"/>
      <c r="N18" s="28"/>
      <c r="O18" s="28"/>
      <c r="P18" s="30" t="str">
        <f>IF(A18="","",IFERROR((4-MATCH(H18,{"Critical","Major","Minor","Trivial"},0))*10+(4-MATCH(I18,{"High","Medium","Low"},0))+(100-ROW())/1000,0))</f>
        <v/>
      </c>
    </row>
    <row r="19" spans="1:16" s="31" customFormat="1" x14ac:dyDescent="0.3">
      <c r="A19" s="27"/>
      <c r="B19" s="28"/>
      <c r="C19" s="28"/>
      <c r="D19" s="27"/>
      <c r="E19" s="28"/>
      <c r="F19" s="28"/>
      <c r="G19" s="28"/>
      <c r="H19" s="27"/>
      <c r="I19" s="27"/>
      <c r="J19" s="27"/>
      <c r="K19" s="27"/>
      <c r="L19" s="27"/>
      <c r="M19" s="29"/>
      <c r="N19" s="28"/>
      <c r="O19" s="28"/>
      <c r="P19" s="30" t="str">
        <f>IF(A19="","",IFERROR((4-MATCH(H19,{"Critical","Major","Minor","Trivial"},0))*10+(4-MATCH(I19,{"High","Medium","Low"},0))+(100-ROW())/1000,0))</f>
        <v/>
      </c>
    </row>
    <row r="20" spans="1:16" s="31" customFormat="1" x14ac:dyDescent="0.3">
      <c r="A20" s="27"/>
      <c r="B20" s="28"/>
      <c r="C20" s="28"/>
      <c r="D20" s="27"/>
      <c r="E20" s="28"/>
      <c r="F20" s="28"/>
      <c r="G20" s="28"/>
      <c r="H20" s="27"/>
      <c r="I20" s="27"/>
      <c r="J20" s="27"/>
      <c r="K20" s="27"/>
      <c r="L20" s="27"/>
      <c r="M20" s="29"/>
      <c r="N20" s="28"/>
      <c r="O20" s="28"/>
      <c r="P20" s="30" t="str">
        <f>IF(A20="","",IFERROR((4-MATCH(H20,{"Critical","Major","Minor","Trivial"},0))*10+(4-MATCH(I20,{"High","Medium","Low"},0))+(100-ROW())/1000,0))</f>
        <v/>
      </c>
    </row>
    <row r="21" spans="1:16" s="31" customFormat="1" x14ac:dyDescent="0.3">
      <c r="A21" s="27"/>
      <c r="B21" s="28"/>
      <c r="C21" s="28"/>
      <c r="D21" s="27"/>
      <c r="E21" s="28"/>
      <c r="F21" s="28"/>
      <c r="G21" s="28"/>
      <c r="H21" s="27"/>
      <c r="I21" s="27"/>
      <c r="J21" s="27"/>
      <c r="K21" s="27"/>
      <c r="L21" s="27"/>
      <c r="M21" s="29"/>
      <c r="N21" s="28"/>
      <c r="O21" s="28"/>
      <c r="P21" s="30" t="str">
        <f>IF(A21="","",IFERROR((4-MATCH(H21,{"Critical","Major","Minor","Trivial"},0))*10+(4-MATCH(I21,{"High","Medium","Low"},0))+(100-ROW())/1000,0))</f>
        <v/>
      </c>
    </row>
    <row r="22" spans="1:16" s="31" customFormat="1" x14ac:dyDescent="0.3">
      <c r="A22" s="27"/>
      <c r="B22" s="28"/>
      <c r="C22" s="28"/>
      <c r="D22" s="27"/>
      <c r="E22" s="28"/>
      <c r="F22" s="28"/>
      <c r="G22" s="28"/>
      <c r="H22" s="27"/>
      <c r="I22" s="27"/>
      <c r="J22" s="27"/>
      <c r="K22" s="27"/>
      <c r="L22" s="27"/>
      <c r="M22" s="29"/>
      <c r="N22" s="28"/>
      <c r="O22" s="28"/>
      <c r="P22" s="30" t="str">
        <f>IF(A22="","",IFERROR((4-MATCH(H22,{"Critical","Major","Minor","Trivial"},0))*10+(4-MATCH(I22,{"High","Medium","Low"},0))+(100-ROW())/1000,0))</f>
        <v/>
      </c>
    </row>
    <row r="23" spans="1:16" s="31" customFormat="1" x14ac:dyDescent="0.3">
      <c r="A23" s="27"/>
      <c r="B23" s="28"/>
      <c r="C23" s="28"/>
      <c r="D23" s="27"/>
      <c r="E23" s="28"/>
      <c r="F23" s="28"/>
      <c r="G23" s="28"/>
      <c r="H23" s="27"/>
      <c r="I23" s="27"/>
      <c r="J23" s="27"/>
      <c r="K23" s="27"/>
      <c r="L23" s="27"/>
      <c r="M23" s="29"/>
      <c r="N23" s="28"/>
      <c r="O23" s="28"/>
      <c r="P23" s="30" t="str">
        <f>IF(A23="","",IFERROR((4-MATCH(H23,{"Critical","Major","Minor","Trivial"},0))*10+(4-MATCH(I23,{"High","Medium","Low"},0))+(100-ROW())/1000,0))</f>
        <v/>
      </c>
    </row>
    <row r="24" spans="1:16" s="31" customFormat="1" x14ac:dyDescent="0.3">
      <c r="A24" s="27"/>
      <c r="B24" s="28"/>
      <c r="C24" s="28"/>
      <c r="D24" s="27"/>
      <c r="E24" s="28"/>
      <c r="F24" s="28"/>
      <c r="G24" s="28"/>
      <c r="H24" s="27"/>
      <c r="I24" s="27"/>
      <c r="J24" s="27"/>
      <c r="K24" s="27"/>
      <c r="L24" s="27"/>
      <c r="M24" s="29"/>
      <c r="N24" s="28"/>
      <c r="O24" s="28"/>
      <c r="P24" s="30" t="str">
        <f>IF(A24="","",IFERROR((4-MATCH(H24,{"Critical","Major","Minor","Trivial"},0))*10+(4-MATCH(I24,{"High","Medium","Low"},0))+(100-ROW())/1000,0))</f>
        <v/>
      </c>
    </row>
    <row r="25" spans="1:16" s="31" customFormat="1" x14ac:dyDescent="0.3">
      <c r="A25" s="27"/>
      <c r="B25" s="28"/>
      <c r="C25" s="28"/>
      <c r="D25" s="27"/>
      <c r="E25" s="28"/>
      <c r="F25" s="28"/>
      <c r="G25" s="28"/>
      <c r="H25" s="27"/>
      <c r="I25" s="27"/>
      <c r="J25" s="27"/>
      <c r="K25" s="27"/>
      <c r="L25" s="27"/>
      <c r="M25" s="29"/>
      <c r="N25" s="28"/>
      <c r="O25" s="28"/>
      <c r="P25" s="30" t="str">
        <f>IF(A25="","",IFERROR((4-MATCH(H25,{"Critical","Major","Minor","Trivial"},0))*10+(4-MATCH(I25,{"High","Medium","Low"},0))+(100-ROW())/1000,0))</f>
        <v/>
      </c>
    </row>
    <row r="26" spans="1:16" s="31" customFormat="1" x14ac:dyDescent="0.3">
      <c r="A26" s="27"/>
      <c r="B26" s="28"/>
      <c r="C26" s="28"/>
      <c r="D26" s="27"/>
      <c r="E26" s="28"/>
      <c r="F26" s="28"/>
      <c r="G26" s="28"/>
      <c r="H26" s="27"/>
      <c r="I26" s="27"/>
      <c r="J26" s="27"/>
      <c r="K26" s="27"/>
      <c r="L26" s="27"/>
      <c r="M26" s="29"/>
      <c r="N26" s="28"/>
      <c r="O26" s="28"/>
      <c r="P26" s="30" t="str">
        <f>IF(A26="","",IFERROR((4-MATCH(H26,{"Critical","Major","Minor","Trivial"},0))*10+(4-MATCH(I26,{"High","Medium","Low"},0))+(100-ROW())/1000,0))</f>
        <v/>
      </c>
    </row>
    <row r="27" spans="1:16" s="31" customFormat="1" x14ac:dyDescent="0.3">
      <c r="A27" s="27"/>
      <c r="B27" s="28"/>
      <c r="C27" s="28"/>
      <c r="D27" s="27"/>
      <c r="E27" s="28"/>
      <c r="F27" s="28"/>
      <c r="G27" s="28"/>
      <c r="H27" s="27"/>
      <c r="I27" s="27"/>
      <c r="J27" s="27"/>
      <c r="K27" s="27"/>
      <c r="L27" s="27"/>
      <c r="M27" s="29"/>
      <c r="N27" s="28"/>
      <c r="O27" s="28"/>
      <c r="P27" s="30" t="str">
        <f>IF(A27="","",IFERROR((4-MATCH(H27,{"Critical","Major","Minor","Trivial"},0))*10+(4-MATCH(I27,{"High","Medium","Low"},0))+(100-ROW())/1000,0))</f>
        <v/>
      </c>
    </row>
    <row r="28" spans="1:16" s="31" customFormat="1" x14ac:dyDescent="0.3">
      <c r="A28" s="27"/>
      <c r="B28" s="28"/>
      <c r="C28" s="28"/>
      <c r="D28" s="27"/>
      <c r="E28" s="28"/>
      <c r="F28" s="28"/>
      <c r="G28" s="28"/>
      <c r="H28" s="27"/>
      <c r="I28" s="27"/>
      <c r="J28" s="27"/>
      <c r="K28" s="27"/>
      <c r="L28" s="27"/>
      <c r="M28" s="29"/>
      <c r="N28" s="28"/>
      <c r="O28" s="28"/>
      <c r="P28" s="30" t="str">
        <f>IF(A28="","",IFERROR((4-MATCH(H28,{"Critical","Major","Minor","Trivial"},0))*10+(4-MATCH(I28,{"High","Medium","Low"},0))+(100-ROW())/1000,0))</f>
        <v/>
      </c>
    </row>
    <row r="29" spans="1:16" s="31" customFormat="1" x14ac:dyDescent="0.3">
      <c r="A29" s="27"/>
      <c r="B29" s="28"/>
      <c r="C29" s="28"/>
      <c r="D29" s="27"/>
      <c r="E29" s="28"/>
      <c r="F29" s="28"/>
      <c r="G29" s="28"/>
      <c r="H29" s="27"/>
      <c r="I29" s="27"/>
      <c r="J29" s="27"/>
      <c r="K29" s="27"/>
      <c r="L29" s="27"/>
      <c r="M29" s="29"/>
      <c r="N29" s="28"/>
      <c r="O29" s="28"/>
      <c r="P29" s="30" t="str">
        <f>IF(A29="","",IFERROR((4-MATCH(H29,{"Critical","Major","Minor","Trivial"},0))*10+(4-MATCH(I29,{"High","Medium","Low"},0))+(100-ROW())/1000,0))</f>
        <v/>
      </c>
    </row>
    <row r="30" spans="1:16" s="31" customFormat="1" x14ac:dyDescent="0.3">
      <c r="A30" s="27"/>
      <c r="B30" s="28"/>
      <c r="C30" s="28"/>
      <c r="D30" s="27"/>
      <c r="E30" s="28"/>
      <c r="F30" s="28"/>
      <c r="G30" s="28"/>
      <c r="H30" s="27"/>
      <c r="I30" s="27"/>
      <c r="J30" s="27"/>
      <c r="K30" s="27"/>
      <c r="L30" s="27"/>
      <c r="M30" s="29"/>
      <c r="N30" s="28"/>
      <c r="O30" s="28"/>
      <c r="P30" s="30" t="str">
        <f>IF(A30="","",IFERROR((4-MATCH(H30,{"Critical","Major","Minor","Trivial"},0))*10+(4-MATCH(I30,{"High","Medium","Low"},0))+(100-ROW())/1000,0))</f>
        <v/>
      </c>
    </row>
    <row r="31" spans="1:16" s="31" customFormat="1" x14ac:dyDescent="0.3">
      <c r="A31" s="27"/>
      <c r="B31" s="28"/>
      <c r="C31" s="28"/>
      <c r="D31" s="27"/>
      <c r="E31" s="28"/>
      <c r="F31" s="28"/>
      <c r="G31" s="28"/>
      <c r="H31" s="27"/>
      <c r="I31" s="27"/>
      <c r="J31" s="27"/>
      <c r="K31" s="27"/>
      <c r="L31" s="27"/>
      <c r="M31" s="29"/>
      <c r="N31" s="28"/>
      <c r="O31" s="28"/>
      <c r="P31" s="30" t="str">
        <f>IF(A31="","",IFERROR((4-MATCH(H31,{"Critical","Major","Minor","Trivial"},0))*10+(4-MATCH(I31,{"High","Medium","Low"},0))+(100-ROW())/1000,0))</f>
        <v/>
      </c>
    </row>
    <row r="32" spans="1:16" s="31" customFormat="1" x14ac:dyDescent="0.3">
      <c r="A32" s="27"/>
      <c r="B32" s="28"/>
      <c r="C32" s="28"/>
      <c r="D32" s="27"/>
      <c r="E32" s="28"/>
      <c r="F32" s="28"/>
      <c r="G32" s="28"/>
      <c r="H32" s="27"/>
      <c r="I32" s="27"/>
      <c r="J32" s="27"/>
      <c r="K32" s="27"/>
      <c r="L32" s="27"/>
      <c r="M32" s="29"/>
      <c r="N32" s="28"/>
      <c r="O32" s="28"/>
      <c r="P32" s="30" t="str">
        <f>IF(A32="","",IFERROR((4-MATCH(H32,{"Critical","Major","Minor","Trivial"},0))*10+(4-MATCH(I32,{"High","Medium","Low"},0))+(100-ROW())/1000,0))</f>
        <v/>
      </c>
    </row>
    <row r="33" spans="1:16" s="31" customFormat="1" x14ac:dyDescent="0.3">
      <c r="A33" s="27"/>
      <c r="B33" s="28"/>
      <c r="C33" s="28"/>
      <c r="D33" s="27"/>
      <c r="E33" s="28"/>
      <c r="F33" s="28"/>
      <c r="G33" s="28"/>
      <c r="H33" s="27"/>
      <c r="I33" s="27"/>
      <c r="J33" s="27"/>
      <c r="K33" s="27"/>
      <c r="L33" s="27"/>
      <c r="M33" s="29"/>
      <c r="N33" s="28"/>
      <c r="O33" s="28"/>
      <c r="P33" s="30" t="str">
        <f>IF(A33="","",IFERROR((4-MATCH(H33,{"Critical","Major","Minor","Trivial"},0))*10+(4-MATCH(I33,{"High","Medium","Low"},0))+(100-ROW())/1000,0))</f>
        <v/>
      </c>
    </row>
    <row r="34" spans="1:16" s="31" customFormat="1" x14ac:dyDescent="0.3">
      <c r="A34" s="27"/>
      <c r="B34" s="28"/>
      <c r="C34" s="28"/>
      <c r="D34" s="27"/>
      <c r="E34" s="28"/>
      <c r="F34" s="28"/>
      <c r="G34" s="28"/>
      <c r="H34" s="27"/>
      <c r="I34" s="27"/>
      <c r="J34" s="27"/>
      <c r="K34" s="27"/>
      <c r="L34" s="27"/>
      <c r="M34" s="29"/>
      <c r="N34" s="28"/>
      <c r="O34" s="28"/>
      <c r="P34" s="30" t="str">
        <f>IF(A34="","",IFERROR((4-MATCH(H34,{"Critical","Major","Minor","Trivial"},0))*10+(4-MATCH(I34,{"High","Medium","Low"},0))+(100-ROW())/1000,0))</f>
        <v/>
      </c>
    </row>
    <row r="35" spans="1:16" s="31" customFormat="1" x14ac:dyDescent="0.3">
      <c r="A35" s="27"/>
      <c r="B35" s="28"/>
      <c r="C35" s="28"/>
      <c r="D35" s="27"/>
      <c r="E35" s="28"/>
      <c r="F35" s="28"/>
      <c r="G35" s="28"/>
      <c r="H35" s="27"/>
      <c r="I35" s="27"/>
      <c r="J35" s="27"/>
      <c r="K35" s="27"/>
      <c r="L35" s="27"/>
      <c r="M35" s="29"/>
      <c r="N35" s="28"/>
      <c r="O35" s="28"/>
      <c r="P35" s="30" t="str">
        <f>IF(A35="","",IFERROR((4-MATCH(H35,{"Critical","Major","Minor","Trivial"},0))*10+(4-MATCH(I35,{"High","Medium","Low"},0))+(100-ROW())/1000,0))</f>
        <v/>
      </c>
    </row>
    <row r="36" spans="1:16" s="31" customFormat="1" x14ac:dyDescent="0.3">
      <c r="A36" s="27"/>
      <c r="B36" s="28"/>
      <c r="C36" s="28"/>
      <c r="D36" s="27"/>
      <c r="E36" s="28"/>
      <c r="F36" s="28"/>
      <c r="G36" s="28"/>
      <c r="H36" s="27"/>
      <c r="I36" s="27"/>
      <c r="J36" s="27"/>
      <c r="K36" s="27"/>
      <c r="L36" s="27"/>
      <c r="M36" s="29"/>
      <c r="N36" s="28"/>
      <c r="O36" s="28"/>
      <c r="P36" s="30" t="str">
        <f>IF(A36="","",IFERROR((4-MATCH(H36,{"Critical","Major","Minor","Trivial"},0))*10+(4-MATCH(I36,{"High","Medium","Low"},0))+(100-ROW())/1000,0))</f>
        <v/>
      </c>
    </row>
    <row r="37" spans="1:16" x14ac:dyDescent="0.3">
      <c r="P37" s="10" t="str">
        <f>IF(A37="","",IFERROR((4-MATCH(H37,{"Critical","Major","Minor","Trivial"},0))*10+(4-MATCH(I37,{"High","Medium","Low"},0))+(100-ROW())/1000,0))</f>
        <v/>
      </c>
    </row>
    <row r="38" spans="1:16" x14ac:dyDescent="0.3">
      <c r="P38" s="10" t="str">
        <f>IF(A38="","",IFERROR((4-MATCH(H38,{"Critical","Major","Minor","Trivial"},0))*10+(4-MATCH(I38,{"High","Medium","Low"},0))+(100-ROW())/1000,0))</f>
        <v/>
      </c>
    </row>
    <row r="39" spans="1:16" x14ac:dyDescent="0.3">
      <c r="P39" s="10" t="str">
        <f>IF(A39="","",IFERROR((4-MATCH(H39,{"Critical","Major","Minor","Trivial"},0))*10+(4-MATCH(I39,{"High","Medium","Low"},0))+(100-ROW())/1000,0))</f>
        <v/>
      </c>
    </row>
    <row r="40" spans="1:16" x14ac:dyDescent="0.3">
      <c r="P40" s="10" t="str">
        <f>IF(A40="","",IFERROR((4-MATCH(H40,{"Critical","Major","Minor","Trivial"},0))*10+(4-MATCH(I40,{"High","Medium","Low"},0))+(100-ROW())/1000,0))</f>
        <v/>
      </c>
    </row>
    <row r="41" spans="1:16" x14ac:dyDescent="0.3">
      <c r="P41" s="10" t="str">
        <f>IF(A41="","",IFERROR((4-MATCH(H41,{"Critical","Major","Minor","Trivial"},0))*10+(4-MATCH(I41,{"High","Medium","Low"},0))+(100-ROW())/1000,0))</f>
        <v/>
      </c>
    </row>
    <row r="42" spans="1:16" x14ac:dyDescent="0.3">
      <c r="P42" s="10" t="str">
        <f>IF(A42="","",IFERROR((4-MATCH(H42,{"Critical","Major","Minor","Trivial"},0))*10+(4-MATCH(I42,{"High","Medium","Low"},0))+(100-ROW())/1000,0))</f>
        <v/>
      </c>
    </row>
    <row r="43" spans="1:16" x14ac:dyDescent="0.3">
      <c r="P43" s="10" t="str">
        <f>IF(A43="","",IFERROR((4-MATCH(H43,{"Critical","Major","Minor","Trivial"},0))*10+(4-MATCH(I43,{"High","Medium","Low"},0))+(100-ROW())/1000,0))</f>
        <v/>
      </c>
    </row>
    <row r="44" spans="1:16" x14ac:dyDescent="0.3">
      <c r="P44" s="10" t="str">
        <f>IF(A44="","",IFERROR((4-MATCH(H44,{"Critical","Major","Minor","Trivial"},0))*10+(4-MATCH(I44,{"High","Medium","Low"},0))+(100-ROW())/1000,0))</f>
        <v/>
      </c>
    </row>
    <row r="45" spans="1:16" x14ac:dyDescent="0.3">
      <c r="P45" s="10" t="str">
        <f>IF(A45="","",IFERROR((4-MATCH(H45,{"Critical","Major","Minor","Trivial"},0))*10+(4-MATCH(I45,{"High","Medium","Low"},0))+(100-ROW())/1000,0))</f>
        <v/>
      </c>
    </row>
    <row r="46" spans="1:16" x14ac:dyDescent="0.3">
      <c r="P46" s="10" t="str">
        <f>IF(A46="","",IFERROR((4-MATCH(H46,{"Critical","Major","Minor","Trivial"},0))*10+(4-MATCH(I46,{"High","Medium","Low"},0))+(100-ROW())/1000,0))</f>
        <v/>
      </c>
    </row>
    <row r="47" spans="1:16" x14ac:dyDescent="0.3">
      <c r="P47" s="10" t="str">
        <f>IF(A47="","",IFERROR((4-MATCH(H47,{"Critical","Major","Minor","Trivial"},0))*10+(4-MATCH(I47,{"High","Medium","Low"},0))+(100-ROW())/1000,0))</f>
        <v/>
      </c>
    </row>
    <row r="48" spans="1:16" x14ac:dyDescent="0.3">
      <c r="P48" s="10" t="str">
        <f>IF(A48="","",IFERROR((4-MATCH(H48,{"Critical","Major","Minor","Trivial"},0))*10+(4-MATCH(I48,{"High","Medium","Low"},0))+(100-ROW())/1000,0))</f>
        <v/>
      </c>
    </row>
    <row r="49" spans="16:16" x14ac:dyDescent="0.3">
      <c r="P49" s="10" t="str">
        <f>IF(A49="","",IFERROR((4-MATCH(H49,{"Critical","Major","Minor","Trivial"},0))*10+(4-MATCH(I49,{"High","Medium","Low"},0))+(100-ROW())/1000,0))</f>
        <v/>
      </c>
    </row>
    <row r="50" spans="16:16" x14ac:dyDescent="0.3">
      <c r="P50" s="10" t="str">
        <f>IF(A50="","",IFERROR((4-MATCH(H50,{"Critical","Major","Minor","Trivial"},0))*10+(4-MATCH(I50,{"High","Medium","Low"},0))+(100-ROW())/1000,0))</f>
        <v/>
      </c>
    </row>
    <row r="51" spans="16:16" x14ac:dyDescent="0.3">
      <c r="P51" s="10" t="str">
        <f>IF(A51="","",IFERROR((4-MATCH(H51,{"Critical","Major","Minor","Trivial"},0))*10+(4-MATCH(I51,{"High","Medium","Low"},0))+(100-ROW())/1000,0))</f>
        <v/>
      </c>
    </row>
    <row r="52" spans="16:16" x14ac:dyDescent="0.3">
      <c r="P52" s="10" t="str">
        <f>IF(A52="","",IFERROR((4-MATCH(H52,{"Critical","Major","Minor","Trivial"},0))*10+(4-MATCH(I52,{"High","Medium","Low"},0))+(100-ROW())/1000,0))</f>
        <v/>
      </c>
    </row>
    <row r="53" spans="16:16" x14ac:dyDescent="0.3">
      <c r="P53" s="10" t="str">
        <f>IF(A53="","",IFERROR((4-MATCH(H53,{"Critical","Major","Minor","Trivial"},0))*10+(4-MATCH(I53,{"High","Medium","Low"},0))+(100-ROW())/1000,0))</f>
        <v/>
      </c>
    </row>
    <row r="54" spans="16:16" x14ac:dyDescent="0.3">
      <c r="P54" s="10" t="str">
        <f>IF(A54="","",IFERROR((4-MATCH(H54,{"Critical","Major","Minor","Trivial"},0))*10+(4-MATCH(I54,{"High","Medium","Low"},0))+(100-ROW())/1000,0))</f>
        <v/>
      </c>
    </row>
    <row r="55" spans="16:16" x14ac:dyDescent="0.3">
      <c r="P55" s="10" t="str">
        <f>IF(A55="","",IFERROR((4-MATCH(H55,{"Critical","Major","Minor","Trivial"},0))*10+(4-MATCH(I55,{"High","Medium","Low"},0))+(100-ROW())/1000,0))</f>
        <v/>
      </c>
    </row>
    <row r="56" spans="16:16" x14ac:dyDescent="0.3">
      <c r="P56" s="10" t="str">
        <f>IF(A56="","",IFERROR((4-MATCH(H56,{"Critical","Major","Minor","Trivial"},0))*10+(4-MATCH(I56,{"High","Medium","Low"},0))+(100-ROW())/1000,0))</f>
        <v/>
      </c>
    </row>
    <row r="57" spans="16:16" x14ac:dyDescent="0.3">
      <c r="P57" s="10" t="str">
        <f>IF(A57="","",IFERROR((4-MATCH(H57,{"Critical","Major","Minor","Trivial"},0))*10+(4-MATCH(I57,{"High","Medium","Low"},0))+(100-ROW())/1000,0))</f>
        <v/>
      </c>
    </row>
    <row r="58" spans="16:16" x14ac:dyDescent="0.3">
      <c r="P58" s="10" t="str">
        <f>IF(A58="","",IFERROR((4-MATCH(H58,{"Critical","Major","Minor","Trivial"},0))*10+(4-MATCH(I58,{"High","Medium","Low"},0))+(100-ROW())/1000,0))</f>
        <v/>
      </c>
    </row>
    <row r="59" spans="16:16" x14ac:dyDescent="0.3">
      <c r="P59" s="10" t="str">
        <f>IF(A59="","",IFERROR((4-MATCH(H59,{"Critical","Major","Minor","Trivial"},0))*10+(4-MATCH(I59,{"High","Medium","Low"},0))+(100-ROW())/1000,0))</f>
        <v/>
      </c>
    </row>
    <row r="60" spans="16:16" x14ac:dyDescent="0.3">
      <c r="P60" s="10" t="str">
        <f>IF(A60="","",IFERROR((4-MATCH(H60,{"Critical","Major","Minor","Trivial"},0))*10+(4-MATCH(I60,{"High","Medium","Low"},0))+(100-ROW())/1000,0))</f>
        <v/>
      </c>
    </row>
  </sheetData>
  <dataValidations count="4">
    <dataValidation type="list" allowBlank="1" sqref="C2:C300" xr:uid="{00000000-0002-0000-0300-000000000000}">
      <formula1>"M1 Auth &amp; Users,M2 Documents,M3 Attributes,M4 Search &amp; Saved Views,M5 Workflows &amp; Matching,M6 Trash &amp; Bulk Actions"</formula1>
      <formula2>0</formula2>
    </dataValidation>
    <dataValidation type="list" allowBlank="1" sqref="H2:H300" xr:uid="{00000000-0002-0000-0300-000001000000}">
      <formula1>"Critical,Major,Minor,Trivial"</formula1>
      <formula2>0</formula2>
    </dataValidation>
    <dataValidation type="list" allowBlank="1" sqref="I2:I300" xr:uid="{00000000-0002-0000-0300-000002000000}">
      <formula1>"High,Medium,Low"</formula1>
      <formula2>0</formula2>
    </dataValidation>
    <dataValidation type="list" allowBlank="1" sqref="J2:J300" xr:uid="{00000000-0002-0000-0300-000003000000}">
      <formula1>"Open,Fixed,Closed,Rejected,Deferred"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90" zoomScaleNormal="90" workbookViewId="0"/>
  </sheetViews>
  <sheetFormatPr defaultColWidth="8.6640625" defaultRowHeight="15.05" x14ac:dyDescent="0.3"/>
  <cols>
    <col min="1" max="1" width="28" customWidth="1"/>
    <col min="2" max="6" width="12" customWidth="1"/>
  </cols>
  <sheetData>
    <row r="1" spans="1:8" ht="17.55" x14ac:dyDescent="0.3">
      <c r="A1" s="11" t="s">
        <v>655</v>
      </c>
    </row>
    <row r="2" spans="1:8" x14ac:dyDescent="0.3">
      <c r="A2" s="6" t="s">
        <v>656</v>
      </c>
    </row>
    <row r="3" spans="1:8" x14ac:dyDescent="0.3">
      <c r="A3" s="12" t="s">
        <v>657</v>
      </c>
      <c r="B3" s="13">
        <f>COUNTA(DefectLog!$A$2:$A$300)</f>
        <v>7</v>
      </c>
      <c r="H3" s="6" t="s">
        <v>658</v>
      </c>
    </row>
    <row r="5" spans="1:8" x14ac:dyDescent="0.3">
      <c r="A5" s="14" t="s">
        <v>659</v>
      </c>
    </row>
    <row r="6" spans="1:8" x14ac:dyDescent="0.3">
      <c r="A6" s="1" t="s">
        <v>154</v>
      </c>
      <c r="B6" s="1" t="s">
        <v>660</v>
      </c>
      <c r="C6" s="1" t="s">
        <v>661</v>
      </c>
    </row>
    <row r="7" spans="1:8" x14ac:dyDescent="0.3">
      <c r="A7" s="2" t="s">
        <v>165</v>
      </c>
      <c r="B7" s="5">
        <f>COUNTIF(DefectLog!$H$2:$H$300,A7)</f>
        <v>0</v>
      </c>
      <c r="C7" s="15">
        <f>IF($B$3=0,0,B7/$B$3)</f>
        <v>0</v>
      </c>
    </row>
    <row r="8" spans="1:8" x14ac:dyDescent="0.3">
      <c r="A8" s="2" t="s">
        <v>174</v>
      </c>
      <c r="B8" s="5">
        <f>COUNTIF(DefectLog!$H$2:$H$300,A8)</f>
        <v>1</v>
      </c>
      <c r="C8" s="15">
        <f>IF($B$3=0,0,B8/$B$3)</f>
        <v>0.14285714285714285</v>
      </c>
    </row>
    <row r="9" spans="1:8" x14ac:dyDescent="0.3">
      <c r="A9" s="2" t="s">
        <v>181</v>
      </c>
      <c r="B9" s="5">
        <f>COUNTIF(DefectLog!$H$2:$H$300,A9)</f>
        <v>6</v>
      </c>
      <c r="C9" s="15">
        <f>IF($B$3=0,0,B9/$B$3)</f>
        <v>0.8571428571428571</v>
      </c>
    </row>
    <row r="10" spans="1:8" x14ac:dyDescent="0.3">
      <c r="A10" s="2" t="s">
        <v>534</v>
      </c>
      <c r="B10" s="5">
        <f>COUNTIF(DefectLog!$H$2:$H$300,A10)</f>
        <v>0</v>
      </c>
      <c r="C10" s="15">
        <f>IF($B$3=0,0,B10/$B$3)</f>
        <v>0</v>
      </c>
    </row>
    <row r="11" spans="1:8" x14ac:dyDescent="0.3">
      <c r="A11" s="16" t="s">
        <v>662</v>
      </c>
      <c r="B11" s="17">
        <f>SUM(B7:B10)</f>
        <v>7</v>
      </c>
      <c r="C11" s="18">
        <f>IF($B$3=0,0,B11/$B$3)</f>
        <v>1</v>
      </c>
    </row>
    <row r="13" spans="1:8" x14ac:dyDescent="0.3">
      <c r="A13" s="14" t="s">
        <v>663</v>
      </c>
    </row>
    <row r="14" spans="1:8" x14ac:dyDescent="0.3">
      <c r="A14" s="1" t="s">
        <v>26</v>
      </c>
      <c r="B14" s="1" t="s">
        <v>660</v>
      </c>
      <c r="C14" s="1" t="s">
        <v>661</v>
      </c>
    </row>
    <row r="15" spans="1:8" x14ac:dyDescent="0.3">
      <c r="A15" s="2" t="s">
        <v>35</v>
      </c>
      <c r="B15" s="5">
        <f>COUNTIF(DefectLog!$I$2:$I$300,A15)</f>
        <v>0</v>
      </c>
      <c r="C15" s="15">
        <f>IF($B$3=0,0,B15/$B$3)</f>
        <v>0</v>
      </c>
    </row>
    <row r="16" spans="1:8" x14ac:dyDescent="0.3">
      <c r="A16" s="2" t="s">
        <v>58</v>
      </c>
      <c r="B16" s="5">
        <f>COUNTIF(DefectLog!$I$2:$I$300,A16)</f>
        <v>3</v>
      </c>
      <c r="C16" s="15">
        <f>IF($B$3=0,0,B16/$B$3)</f>
        <v>0.42857142857142855</v>
      </c>
    </row>
    <row r="17" spans="1:6" x14ac:dyDescent="0.3">
      <c r="A17" s="2" t="s">
        <v>103</v>
      </c>
      <c r="B17" s="5">
        <f>COUNTIF(DefectLog!$I$2:$I$300,A17)</f>
        <v>4</v>
      </c>
      <c r="C17" s="15">
        <f>IF($B$3=0,0,B17/$B$3)</f>
        <v>0.5714285714285714</v>
      </c>
    </row>
    <row r="18" spans="1:6" x14ac:dyDescent="0.3">
      <c r="A18" s="16" t="s">
        <v>662</v>
      </c>
      <c r="B18" s="17">
        <f>SUM(B15:B17)</f>
        <v>7</v>
      </c>
      <c r="C18" s="18">
        <f>IF($B$3=0,0,B18/$B$3)</f>
        <v>1</v>
      </c>
    </row>
    <row r="20" spans="1:6" x14ac:dyDescent="0.3">
      <c r="A20" s="14" t="s">
        <v>664</v>
      </c>
    </row>
    <row r="21" spans="1:6" x14ac:dyDescent="0.3">
      <c r="A21" s="1" t="s">
        <v>4</v>
      </c>
      <c r="B21" s="1" t="s">
        <v>660</v>
      </c>
      <c r="C21" s="1" t="s">
        <v>661</v>
      </c>
    </row>
    <row r="22" spans="1:6" x14ac:dyDescent="0.3">
      <c r="A22" s="2" t="s">
        <v>607</v>
      </c>
      <c r="B22" s="5">
        <f>COUNTIF(DefectLog!$J$2:$J$300,A22)</f>
        <v>7</v>
      </c>
      <c r="C22" s="15">
        <f t="shared" ref="C22:C27" si="0">IF($B$3=0,0,B22/$B$3)</f>
        <v>1</v>
      </c>
    </row>
    <row r="23" spans="1:6" x14ac:dyDescent="0.3">
      <c r="A23" s="2" t="s">
        <v>665</v>
      </c>
      <c r="B23" s="5">
        <f>COUNTIF(DefectLog!$J$2:$J$300,A23)</f>
        <v>0</v>
      </c>
      <c r="C23" s="15">
        <f t="shared" si="0"/>
        <v>0</v>
      </c>
    </row>
    <row r="24" spans="1:6" x14ac:dyDescent="0.3">
      <c r="A24" s="2" t="s">
        <v>666</v>
      </c>
      <c r="B24" s="5">
        <f>COUNTIF(DefectLog!$J$2:$J$300,A24)</f>
        <v>0</v>
      </c>
      <c r="C24" s="15">
        <f t="shared" si="0"/>
        <v>0</v>
      </c>
    </row>
    <row r="25" spans="1:6" x14ac:dyDescent="0.3">
      <c r="A25" s="2" t="s">
        <v>667</v>
      </c>
      <c r="B25" s="5">
        <f>COUNTIF(DefectLog!$J$2:$J$300,A25)</f>
        <v>0</v>
      </c>
      <c r="C25" s="15">
        <f t="shared" si="0"/>
        <v>0</v>
      </c>
    </row>
    <row r="26" spans="1:6" x14ac:dyDescent="0.3">
      <c r="A26" s="2" t="s">
        <v>668</v>
      </c>
      <c r="B26" s="5">
        <f>COUNTIF(DefectLog!$J$2:$J$300,A26)</f>
        <v>0</v>
      </c>
      <c r="C26" s="15">
        <f t="shared" si="0"/>
        <v>0</v>
      </c>
    </row>
    <row r="27" spans="1:6" x14ac:dyDescent="0.3">
      <c r="A27" s="16" t="s">
        <v>662</v>
      </c>
      <c r="B27" s="17">
        <f>SUM(B22:B26)</f>
        <v>7</v>
      </c>
      <c r="C27" s="18">
        <f t="shared" si="0"/>
        <v>1</v>
      </c>
    </row>
    <row r="30" spans="1:6" x14ac:dyDescent="0.3">
      <c r="A30" s="14" t="s">
        <v>669</v>
      </c>
    </row>
    <row r="31" spans="1:6" x14ac:dyDescent="0.3">
      <c r="A31" s="1" t="s">
        <v>670</v>
      </c>
      <c r="B31" s="1" t="s">
        <v>662</v>
      </c>
      <c r="C31" s="1" t="s">
        <v>165</v>
      </c>
      <c r="D31" s="1" t="s">
        <v>174</v>
      </c>
      <c r="E31" s="1" t="s">
        <v>181</v>
      </c>
      <c r="F31" s="1" t="s">
        <v>534</v>
      </c>
    </row>
    <row r="32" spans="1:6" x14ac:dyDescent="0.3">
      <c r="A32" s="2" t="s">
        <v>33</v>
      </c>
      <c r="B32" s="5">
        <f>COUNTIF(DefectLog!$C$2:$C$300,A32)</f>
        <v>1</v>
      </c>
      <c r="C32" s="5">
        <f>COUNTIFS(DefectLog!$C$2:$C$300,$A32,DefectLog!$H$2:$H$300,"Critical")</f>
        <v>0</v>
      </c>
      <c r="D32" s="5">
        <f>COUNTIFS(DefectLog!$C$2:$C$300,$A32,DefectLog!$H$2:$H$300,"Major")</f>
        <v>0</v>
      </c>
      <c r="E32" s="5">
        <f>COUNTIFS(DefectLog!$C$2:$C$300,$A32,DefectLog!$H$2:$H$300,"Minor")</f>
        <v>1</v>
      </c>
      <c r="F32" s="5">
        <f>COUNTIFS(DefectLog!$C$2:$C$300,$A32,DefectLog!$H$2:$H$300,"Trivial")</f>
        <v>0</v>
      </c>
    </row>
    <row r="33" spans="1:6" x14ac:dyDescent="0.3">
      <c r="A33" s="2" t="s">
        <v>50</v>
      </c>
      <c r="B33" s="5">
        <f>COUNTIF(DefectLog!$C$2:$C$300,A33)</f>
        <v>0</v>
      </c>
      <c r="C33" s="5">
        <f>COUNTIFS(DefectLog!$C$2:$C$300,$A33,DefectLog!$H$2:$H$300,"Critical")</f>
        <v>0</v>
      </c>
      <c r="D33" s="5">
        <f>COUNTIFS(DefectLog!$C$2:$C$300,$A33,DefectLog!$H$2:$H$300,"Major")</f>
        <v>0</v>
      </c>
      <c r="E33" s="5">
        <f>COUNTIFS(DefectLog!$C$2:$C$300,$A33,DefectLog!$H$2:$H$300,"Minor")</f>
        <v>0</v>
      </c>
      <c r="F33" s="5">
        <f>COUNTIFS(DefectLog!$C$2:$C$300,$A33,DefectLog!$H$2:$H$300,"Trivial")</f>
        <v>0</v>
      </c>
    </row>
    <row r="34" spans="1:6" x14ac:dyDescent="0.3">
      <c r="A34" s="2" t="s">
        <v>73</v>
      </c>
      <c r="B34" s="5">
        <f>COUNTIF(DefectLog!$C$2:$C$300,A34)</f>
        <v>4</v>
      </c>
      <c r="C34" s="5">
        <f>COUNTIFS(DefectLog!$C$2:$C$300,$A34,DefectLog!$H$2:$H$300,"Critical")</f>
        <v>0</v>
      </c>
      <c r="D34" s="5">
        <f>COUNTIFS(DefectLog!$C$2:$C$300,$A34,DefectLog!$H$2:$H$300,"Major")</f>
        <v>1</v>
      </c>
      <c r="E34" s="5">
        <f>COUNTIFS(DefectLog!$C$2:$C$300,$A34,DefectLog!$H$2:$H$300,"Minor")</f>
        <v>3</v>
      </c>
      <c r="F34" s="5">
        <f>COUNTIFS(DefectLog!$C$2:$C$300,$A34,DefectLog!$H$2:$H$300,"Trivial")</f>
        <v>0</v>
      </c>
    </row>
    <row r="35" spans="1:6" x14ac:dyDescent="0.3">
      <c r="A35" s="2" t="s">
        <v>95</v>
      </c>
      <c r="B35" s="5">
        <f>COUNTIF(DefectLog!$C$2:$C$300,A35)</f>
        <v>2</v>
      </c>
      <c r="C35" s="5">
        <f>COUNTIFS(DefectLog!$C$2:$C$300,$A35,DefectLog!$H$2:$H$300,"Critical")</f>
        <v>0</v>
      </c>
      <c r="D35" s="5">
        <f>COUNTIFS(DefectLog!$C$2:$C$300,$A35,DefectLog!$H$2:$H$300,"Major")</f>
        <v>0</v>
      </c>
      <c r="E35" s="5">
        <f>COUNTIFS(DefectLog!$C$2:$C$300,$A35,DefectLog!$H$2:$H$300,"Minor")</f>
        <v>2</v>
      </c>
      <c r="F35" s="5">
        <f>COUNTIFS(DefectLog!$C$2:$C$300,$A35,DefectLog!$H$2:$H$300,"Trivial")</f>
        <v>0</v>
      </c>
    </row>
    <row r="36" spans="1:6" x14ac:dyDescent="0.3">
      <c r="A36" s="2" t="s">
        <v>115</v>
      </c>
      <c r="B36" s="5">
        <f>COUNTIF(DefectLog!$C$2:$C$300,A36)</f>
        <v>0</v>
      </c>
      <c r="C36" s="5">
        <f>COUNTIFS(DefectLog!$C$2:$C$300,$A36,DefectLog!$H$2:$H$300,"Critical")</f>
        <v>0</v>
      </c>
      <c r="D36" s="5">
        <f>COUNTIFS(DefectLog!$C$2:$C$300,$A36,DefectLog!$H$2:$H$300,"Major")</f>
        <v>0</v>
      </c>
      <c r="E36" s="5">
        <f>COUNTIFS(DefectLog!$C$2:$C$300,$A36,DefectLog!$H$2:$H$300,"Minor")</f>
        <v>0</v>
      </c>
      <c r="F36" s="5">
        <f>COUNTIFS(DefectLog!$C$2:$C$300,$A36,DefectLog!$H$2:$H$300,"Trivial")</f>
        <v>0</v>
      </c>
    </row>
    <row r="37" spans="1:6" x14ac:dyDescent="0.3">
      <c r="A37" s="2" t="s">
        <v>131</v>
      </c>
      <c r="B37" s="5">
        <f>COUNTIF(DefectLog!$C$2:$C$300,A37)</f>
        <v>0</v>
      </c>
      <c r="C37" s="5">
        <f>COUNTIFS(DefectLog!$C$2:$C$300,$A37,DefectLog!$H$2:$H$300,"Critical")</f>
        <v>0</v>
      </c>
      <c r="D37" s="5">
        <f>COUNTIFS(DefectLog!$C$2:$C$300,$A37,DefectLog!$H$2:$H$300,"Major")</f>
        <v>0</v>
      </c>
      <c r="E37" s="5">
        <f>COUNTIFS(DefectLog!$C$2:$C$300,$A37,DefectLog!$H$2:$H$300,"Minor")</f>
        <v>0</v>
      </c>
      <c r="F37" s="5">
        <f>COUNTIFS(DefectLog!$C$2:$C$300,$A37,DefectLog!$H$2:$H$300,"Trivial")</f>
        <v>0</v>
      </c>
    </row>
    <row r="38" spans="1:6" x14ac:dyDescent="0.3">
      <c r="A38" s="16" t="s">
        <v>662</v>
      </c>
      <c r="B38" s="17">
        <f>SUM(B32:B37)</f>
        <v>7</v>
      </c>
      <c r="C38" s="17">
        <f>SUM(C32:C37)</f>
        <v>0</v>
      </c>
      <c r="D38" s="17">
        <f>SUM(D32:D37)</f>
        <v>1</v>
      </c>
      <c r="E38" s="17">
        <f>SUM(E32:E37)</f>
        <v>6</v>
      </c>
      <c r="F38" s="17">
        <f>SUM(F32:F37)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zoomScale="94" zoomScaleNormal="100" workbookViewId="0">
      <selection activeCell="H7" sqref="H7"/>
    </sheetView>
  </sheetViews>
  <sheetFormatPr defaultColWidth="8.6640625" defaultRowHeight="15.05" x14ac:dyDescent="0.3"/>
  <cols>
    <col min="1" max="1" width="44" customWidth="1"/>
    <col min="2" max="5" width="12" customWidth="1"/>
    <col min="6" max="6" width="14" customWidth="1"/>
    <col min="7" max="7" width="12" customWidth="1"/>
    <col min="8" max="8" width="10" customWidth="1"/>
  </cols>
  <sheetData>
    <row r="1" spans="1:7" ht="18" customHeight="1" x14ac:dyDescent="0.3">
      <c r="A1" s="11" t="s">
        <v>675</v>
      </c>
    </row>
    <row r="3" spans="1:7" x14ac:dyDescent="0.3">
      <c r="A3" s="1" t="s">
        <v>676</v>
      </c>
      <c r="B3" s="1" t="s">
        <v>677</v>
      </c>
    </row>
    <row r="4" spans="1:7" x14ac:dyDescent="0.3">
      <c r="A4" s="19" t="s">
        <v>678</v>
      </c>
      <c r="B4" s="20">
        <f>COUNTA(TestCases!$A$2:$A$300)</f>
        <v>67</v>
      </c>
    </row>
    <row r="5" spans="1:7" x14ac:dyDescent="0.3">
      <c r="A5" s="19" t="s">
        <v>679</v>
      </c>
      <c r="B5" s="20">
        <f>B6+B7</f>
        <v>66</v>
      </c>
    </row>
    <row r="6" spans="1:7" x14ac:dyDescent="0.3">
      <c r="A6" s="19" t="s">
        <v>680</v>
      </c>
      <c r="B6" s="20">
        <f>COUNTIF(TestCases!$J$2:$J$300,"Pass")</f>
        <v>59</v>
      </c>
    </row>
    <row r="7" spans="1:7" x14ac:dyDescent="0.3">
      <c r="A7" s="19" t="s">
        <v>681</v>
      </c>
      <c r="B7" s="20">
        <f>COUNTIF(TestCases!$J$2:$J$300,"Fail")</f>
        <v>7</v>
      </c>
    </row>
    <row r="8" spans="1:7" x14ac:dyDescent="0.3">
      <c r="A8" s="19" t="s">
        <v>274</v>
      </c>
      <c r="B8" s="20">
        <f>COUNTIF(TestCases!$J$2:$J$300,"Blocked")</f>
        <v>1</v>
      </c>
    </row>
    <row r="9" spans="1:7" x14ac:dyDescent="0.3">
      <c r="A9" s="19" t="s">
        <v>682</v>
      </c>
      <c r="B9" s="20">
        <f>COUNTIF(TestCases!$J$2:$J$300,"Not Executed")</f>
        <v>0</v>
      </c>
    </row>
    <row r="10" spans="1:7" x14ac:dyDescent="0.3">
      <c r="A10" s="19" t="s">
        <v>683</v>
      </c>
      <c r="B10" s="21">
        <f>IF(B5=0,0,B6/B5)</f>
        <v>0.89393939393939392</v>
      </c>
    </row>
    <row r="11" spans="1:7" x14ac:dyDescent="0.3">
      <c r="A11" s="19" t="s">
        <v>684</v>
      </c>
      <c r="B11" s="22">
        <v>15</v>
      </c>
      <c r="C11" s="6"/>
    </row>
    <row r="13" spans="1:7" x14ac:dyDescent="0.3">
      <c r="A13" s="14" t="s">
        <v>685</v>
      </c>
    </row>
    <row r="14" spans="1:7" x14ac:dyDescent="0.3">
      <c r="A14" s="1" t="s">
        <v>670</v>
      </c>
      <c r="B14" s="1" t="s">
        <v>662</v>
      </c>
      <c r="C14" s="1" t="s">
        <v>680</v>
      </c>
      <c r="D14" s="1" t="s">
        <v>681</v>
      </c>
      <c r="E14" s="1" t="s">
        <v>274</v>
      </c>
      <c r="F14" s="1" t="s">
        <v>686</v>
      </c>
      <c r="G14" s="1" t="s">
        <v>687</v>
      </c>
    </row>
    <row r="15" spans="1:7" x14ac:dyDescent="0.3">
      <c r="A15" s="19" t="s">
        <v>33</v>
      </c>
      <c r="B15" s="20">
        <f>COUNTIF(TestCases!$B$2:$B$300,A15)</f>
        <v>12</v>
      </c>
      <c r="C15" s="20">
        <f>COUNTIFS(TestCases!$B$2:$B$300,$A15,TestCases!$J$2:$J$300,"Pass")</f>
        <v>11</v>
      </c>
      <c r="D15" s="20">
        <f>COUNTIFS(TestCases!$B$2:$B$300,$A15,TestCases!$J$2:$J$300,"Fail")</f>
        <v>1</v>
      </c>
      <c r="E15" s="20">
        <f>COUNTIFS(TestCases!$B$2:$B$300,$A15,TestCases!$J$2:$J$300,"Blocked")</f>
        <v>0</v>
      </c>
      <c r="F15" s="20">
        <f>COUNTIFS(TestCases!$B$2:$B$300,$A15,TestCases!$J$2:$J$300,"Not Executed")</f>
        <v>0</v>
      </c>
      <c r="G15" s="20">
        <f>COUNTIF(DefectLog!$C$2:$C$300,A15)</f>
        <v>1</v>
      </c>
    </row>
    <row r="16" spans="1:7" x14ac:dyDescent="0.3">
      <c r="A16" s="19" t="s">
        <v>50</v>
      </c>
      <c r="B16" s="20">
        <f>COUNTIF(TestCases!$B$2:$B$300,A16)</f>
        <v>12</v>
      </c>
      <c r="C16" s="20">
        <f>COUNTIFS(TestCases!$B$2:$B$300,$A16,TestCases!$J$2:$J$300,"Pass")</f>
        <v>11</v>
      </c>
      <c r="D16" s="20">
        <f>COUNTIFS(TestCases!$B$2:$B$300,$A16,TestCases!$J$2:$J$300,"Fail")</f>
        <v>0</v>
      </c>
      <c r="E16" s="20">
        <f>COUNTIFS(TestCases!$B$2:$B$300,$A16,TestCases!$J$2:$J$300,"Blocked")</f>
        <v>1</v>
      </c>
      <c r="F16" s="20">
        <f>COUNTIFS(TestCases!$B$2:$B$300,$A16,TestCases!$J$2:$J$300,"Not Executed")</f>
        <v>0</v>
      </c>
      <c r="G16" s="20">
        <f>COUNTIF(DefectLog!$C$2:$C$300,A16)</f>
        <v>0</v>
      </c>
    </row>
    <row r="17" spans="1:8" x14ac:dyDescent="0.3">
      <c r="A17" s="19" t="s">
        <v>73</v>
      </c>
      <c r="B17" s="20">
        <f>COUNTIF(TestCases!$B$2:$B$300,A17)</f>
        <v>16</v>
      </c>
      <c r="C17" s="20">
        <f>COUNTIFS(TestCases!$B$2:$B$300,$A17,TestCases!$J$2:$J$300,"Pass")</f>
        <v>12</v>
      </c>
      <c r="D17" s="20">
        <f>COUNTIFS(TestCases!$B$2:$B$300,$A17,TestCases!$J$2:$J$300,"Fail")</f>
        <v>4</v>
      </c>
      <c r="E17" s="20">
        <f>COUNTIFS(TestCases!$B$2:$B$300,$A17,TestCases!$J$2:$J$300,"Blocked")</f>
        <v>0</v>
      </c>
      <c r="F17" s="20">
        <f>COUNTIFS(TestCases!$B$2:$B$300,$A17,TestCases!$J$2:$J$300,"Not Executed")</f>
        <v>0</v>
      </c>
      <c r="G17" s="20">
        <f>COUNTIF(DefectLog!$C$2:$C$300,A17)</f>
        <v>4</v>
      </c>
    </row>
    <row r="18" spans="1:8" x14ac:dyDescent="0.3">
      <c r="A18" s="19" t="s">
        <v>95</v>
      </c>
      <c r="B18" s="20">
        <f>COUNTIF(TestCases!$B$2:$B$300,A18)</f>
        <v>11</v>
      </c>
      <c r="C18" s="20">
        <f>COUNTIFS(TestCases!$B$2:$B$300,$A18,TestCases!$J$2:$J$300,"Pass")</f>
        <v>9</v>
      </c>
      <c r="D18" s="20">
        <f>COUNTIFS(TestCases!$B$2:$B$300,$A18,TestCases!$J$2:$J$300,"Fail")</f>
        <v>2</v>
      </c>
      <c r="E18" s="20">
        <f>COUNTIFS(TestCases!$B$2:$B$300,$A18,TestCases!$J$2:$J$300,"Blocked")</f>
        <v>0</v>
      </c>
      <c r="F18" s="20">
        <f>COUNTIFS(TestCases!$B$2:$B$300,$A18,TestCases!$J$2:$J$300,"Not Executed")</f>
        <v>0</v>
      </c>
      <c r="G18" s="20">
        <f>COUNTIF(DefectLog!$C$2:$C$300,A18)</f>
        <v>2</v>
      </c>
    </row>
    <row r="19" spans="1:8" x14ac:dyDescent="0.3">
      <c r="A19" s="19" t="s">
        <v>115</v>
      </c>
      <c r="B19" s="20">
        <f>COUNTIF(TestCases!$B$2:$B$300,A19)</f>
        <v>9</v>
      </c>
      <c r="C19" s="20">
        <f>COUNTIFS(TestCases!$B$2:$B$300,$A19,TestCases!$J$2:$J$300,"Pass")</f>
        <v>9</v>
      </c>
      <c r="D19" s="20">
        <f>COUNTIFS(TestCases!$B$2:$B$300,$A19,TestCases!$J$2:$J$300,"Fail")</f>
        <v>0</v>
      </c>
      <c r="E19" s="20">
        <f>COUNTIFS(TestCases!$B$2:$B$300,$A19,TestCases!$J$2:$J$300,"Blocked")</f>
        <v>0</v>
      </c>
      <c r="F19" s="20">
        <f>COUNTIFS(TestCases!$B$2:$B$300,$A19,TestCases!$J$2:$J$300,"Not Executed")</f>
        <v>0</v>
      </c>
      <c r="G19" s="20">
        <f>COUNTIF(DefectLog!$C$2:$C$300,A19)</f>
        <v>0</v>
      </c>
    </row>
    <row r="20" spans="1:8" x14ac:dyDescent="0.3">
      <c r="A20" s="19" t="s">
        <v>131</v>
      </c>
      <c r="B20" s="20">
        <f>COUNTIF(TestCases!$B$2:$B$300,A20)</f>
        <v>7</v>
      </c>
      <c r="C20" s="20">
        <f>COUNTIFS(TestCases!$B$2:$B$300,$A20,TestCases!$J$2:$J$300,"Pass")</f>
        <v>7</v>
      </c>
      <c r="D20" s="20">
        <f>COUNTIFS(TestCases!$B$2:$B$300,$A20,TestCases!$J$2:$J$300,"Fail")</f>
        <v>0</v>
      </c>
      <c r="E20" s="20">
        <f>COUNTIFS(TestCases!$B$2:$B$300,$A20,TestCases!$J$2:$J$300,"Blocked")</f>
        <v>0</v>
      </c>
      <c r="F20" s="20">
        <f>COUNTIFS(TestCases!$B$2:$B$300,$A20,TestCases!$J$2:$J$300,"Not Executed")</f>
        <v>0</v>
      </c>
      <c r="G20" s="20">
        <f>COUNTIF(DefectLog!$C$2:$C$300,A20)</f>
        <v>0</v>
      </c>
    </row>
    <row r="21" spans="1:8" x14ac:dyDescent="0.3">
      <c r="A21" s="12" t="s">
        <v>662</v>
      </c>
      <c r="B21" s="13">
        <f t="shared" ref="B21:G21" si="0">SUM(B15:B20)</f>
        <v>67</v>
      </c>
      <c r="C21" s="13">
        <f t="shared" si="0"/>
        <v>59</v>
      </c>
      <c r="D21" s="13">
        <f t="shared" si="0"/>
        <v>7</v>
      </c>
      <c r="E21" s="13">
        <f t="shared" si="0"/>
        <v>1</v>
      </c>
      <c r="F21" s="13">
        <f t="shared" si="0"/>
        <v>0</v>
      </c>
      <c r="G21" s="13">
        <f t="shared" si="0"/>
        <v>7</v>
      </c>
    </row>
    <row r="23" spans="1:8" x14ac:dyDescent="0.3">
      <c r="A23" s="14" t="s">
        <v>688</v>
      </c>
    </row>
    <row r="24" spans="1:8" x14ac:dyDescent="0.3">
      <c r="A24" s="23" t="s">
        <v>689</v>
      </c>
      <c r="B24" s="14">
        <f>COUNTA(DefectLog!$A$2:$A$300)</f>
        <v>7</v>
      </c>
    </row>
    <row r="26" spans="1:8" x14ac:dyDescent="0.3">
      <c r="A26" s="24" t="s">
        <v>154</v>
      </c>
      <c r="B26" s="24" t="s">
        <v>660</v>
      </c>
      <c r="D26" s="24" t="s">
        <v>26</v>
      </c>
      <c r="E26" s="24" t="s">
        <v>660</v>
      </c>
      <c r="G26" s="24" t="s">
        <v>4</v>
      </c>
      <c r="H26" s="24" t="s">
        <v>660</v>
      </c>
    </row>
    <row r="27" spans="1:8" x14ac:dyDescent="0.3">
      <c r="A27" s="19" t="s">
        <v>165</v>
      </c>
      <c r="B27" s="20">
        <f>COUNTIF(DefectLog!$H$2:$H$300,A27)</f>
        <v>0</v>
      </c>
      <c r="D27" s="19" t="s">
        <v>35</v>
      </c>
      <c r="E27" s="20">
        <f>COUNTIF(DefectLog!$I$2:$I$300,D27)</f>
        <v>0</v>
      </c>
      <c r="G27" s="19" t="s">
        <v>607</v>
      </c>
      <c r="H27" s="20">
        <f>COUNTIF(DefectLog!$J$2:$J$300,G27)</f>
        <v>7</v>
      </c>
    </row>
    <row r="28" spans="1:8" x14ac:dyDescent="0.3">
      <c r="A28" s="19" t="s">
        <v>174</v>
      </c>
      <c r="B28" s="20">
        <f>COUNTIF(DefectLog!$H$2:$H$300,A28)</f>
        <v>1</v>
      </c>
      <c r="D28" s="19" t="s">
        <v>58</v>
      </c>
      <c r="E28" s="20">
        <f>COUNTIF(DefectLog!$I$2:$I$300,D28)</f>
        <v>3</v>
      </c>
      <c r="G28" s="19" t="s">
        <v>665</v>
      </c>
      <c r="H28" s="20">
        <f>COUNTIF(DefectLog!$J$2:$J$300,G28)</f>
        <v>0</v>
      </c>
    </row>
    <row r="29" spans="1:8" x14ac:dyDescent="0.3">
      <c r="A29" s="19" t="s">
        <v>181</v>
      </c>
      <c r="B29" s="20">
        <f>COUNTIF(DefectLog!$H$2:$H$300,A29)</f>
        <v>6</v>
      </c>
      <c r="D29" s="19" t="s">
        <v>103</v>
      </c>
      <c r="E29" s="20">
        <f>COUNTIF(DefectLog!$I$2:$I$300,D29)</f>
        <v>4</v>
      </c>
      <c r="G29" s="19" t="s">
        <v>666</v>
      </c>
      <c r="H29" s="20">
        <f>COUNTIF(DefectLog!$J$2:$J$300,G29)</f>
        <v>0</v>
      </c>
    </row>
    <row r="30" spans="1:8" x14ac:dyDescent="0.3">
      <c r="A30" s="19" t="s">
        <v>534</v>
      </c>
      <c r="B30" s="20">
        <f>COUNTIF(DefectLog!$H$2:$H$300,A30)</f>
        <v>0</v>
      </c>
      <c r="G30" s="19" t="s">
        <v>667</v>
      </c>
      <c r="H30" s="20">
        <f>COUNTIF(DefectLog!$J$2:$J$300,G30)</f>
        <v>0</v>
      </c>
    </row>
    <row r="31" spans="1:8" x14ac:dyDescent="0.3">
      <c r="G31" s="19" t="s">
        <v>668</v>
      </c>
      <c r="H31" s="20">
        <f>COUNTIF(DefectLog!$J$2:$J$300,G31)</f>
        <v>0</v>
      </c>
    </row>
    <row r="34" spans="1:2" x14ac:dyDescent="0.3">
      <c r="A34" s="14" t="s">
        <v>690</v>
      </c>
    </row>
    <row r="35" spans="1:2" x14ac:dyDescent="0.3">
      <c r="A35" s="25" t="s">
        <v>155</v>
      </c>
      <c r="B35" s="25" t="s">
        <v>691</v>
      </c>
    </row>
    <row r="36" spans="1:2" x14ac:dyDescent="0.3">
      <c r="A36" s="19" t="s">
        <v>166</v>
      </c>
      <c r="B36" s="20">
        <f>COUNTIF(TestCases!$M$2:$M$300,"*"&amp;A36&amp;"*")</f>
        <v>38</v>
      </c>
    </row>
    <row r="37" spans="1:2" x14ac:dyDescent="0.3">
      <c r="A37" s="19" t="s">
        <v>209</v>
      </c>
      <c r="B37" s="20">
        <f>COUNTIF(TestCases!$M$2:$M$300,"*"&amp;A37&amp;"*")</f>
        <v>12</v>
      </c>
    </row>
    <row r="38" spans="1:2" x14ac:dyDescent="0.3">
      <c r="A38" s="19" t="s">
        <v>230</v>
      </c>
      <c r="B38" s="20">
        <f>COUNTIF(TestCases!$M$2:$M$300,"*"&amp;A38&amp;"*")</f>
        <v>8</v>
      </c>
    </row>
    <row r="39" spans="1:2" x14ac:dyDescent="0.3">
      <c r="A39" s="19" t="s">
        <v>195</v>
      </c>
      <c r="B39" s="20">
        <f>COUNTIF(TestCases!$M$2:$M$300,"*"&amp;A39&amp;"*")</f>
        <v>9</v>
      </c>
    </row>
    <row r="40" spans="1:2" x14ac:dyDescent="0.3">
      <c r="A40" s="19" t="s">
        <v>286</v>
      </c>
      <c r="B40" s="20">
        <f>COUNTIF(TestCases!$M$2:$M$300,"*"&amp;A40&amp;"*")</f>
        <v>13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5.05" x14ac:dyDescent="0.3"/>
  <cols>
    <col min="1" max="1" width="7" customWidth="1"/>
    <col min="2" max="2" width="11" customWidth="1"/>
    <col min="3" max="3" width="46" customWidth="1"/>
    <col min="4" max="4" width="24" customWidth="1"/>
    <col min="5" max="6" width="11" customWidth="1"/>
    <col min="7" max="7" width="62" customWidth="1"/>
  </cols>
  <sheetData>
    <row r="1" spans="1:7" ht="17.55" x14ac:dyDescent="0.3">
      <c r="A1" s="11" t="s">
        <v>671</v>
      </c>
    </row>
    <row r="2" spans="1:7" x14ac:dyDescent="0.3">
      <c r="A2" s="6" t="s">
        <v>672</v>
      </c>
    </row>
    <row r="4" spans="1:7" x14ac:dyDescent="0.3">
      <c r="A4" s="1" t="s">
        <v>673</v>
      </c>
      <c r="B4" s="1" t="s">
        <v>592</v>
      </c>
      <c r="C4" s="1" t="s">
        <v>593</v>
      </c>
      <c r="D4" s="1" t="s">
        <v>670</v>
      </c>
      <c r="E4" s="1" t="s">
        <v>154</v>
      </c>
      <c r="F4" s="1" t="s">
        <v>26</v>
      </c>
      <c r="G4" s="1" t="s">
        <v>674</v>
      </c>
    </row>
    <row r="5" spans="1:7" ht="48.05" customHeight="1" x14ac:dyDescent="0.3">
      <c r="A5" s="5">
        <v>1</v>
      </c>
      <c r="B5" s="5" t="str">
        <f>IFERROR(INDEX(DefectLog!$A$2:$A$60,MATCH(IFERROR(LARGE(DefectLog!$P$2:$P$60,1),""),DefectLog!$P$2:$P$60,0)),"")</f>
        <v>DEF-001</v>
      </c>
      <c r="C5" s="2" t="str">
        <f>IFERROR(INDEX(DefectLog!$B$2:$B$60,MATCH(IFERROR(LARGE(DefectLog!$P$2:$P$60,1),""),DefectLog!$P$2:$P$60,0)),"")</f>
        <v>Empty option label in a Select custom field causes a 500 Internal Server Error</v>
      </c>
      <c r="D5" s="2" t="str">
        <f>IFERROR(INDEX(DefectLog!$C$2:$C$60,MATCH(IFERROR(LARGE(DefectLog!$P$2:$P$60,1),""),DefectLog!$P$2:$P$60,0)),"")</f>
        <v>M3 Attributes</v>
      </c>
      <c r="E5" s="5" t="str">
        <f>IFERROR(INDEX(DefectLog!$H$2:$H$60,MATCH(IFERROR(LARGE(DefectLog!$P$2:$P$60,1),""),DefectLog!$P$2:$P$60,0)),"")</f>
        <v>Major</v>
      </c>
      <c r="F5" s="5" t="str">
        <f>IFERROR(INDEX(DefectLog!$I$2:$I$60,MATCH(IFERROR(LARGE(DefectLog!$P$2:$P$60,1),""),DefectLog!$P$2:$P$60,0)),"")</f>
        <v>Medium</v>
      </c>
      <c r="G5" s="2" t="str">
        <f>IFERROR(INDEX(DefectLog!$O$2:$O$60,MATCH(IFERROR(LARGE(DefectLog!$P$2:$P$60,1),""),DefectLog!$P$2:$P$60,0)),"")</f>
        <v>A blank option label crashes the server instead of showing a validation message, so the Select field cannot be created and the cause is unclear to the user.</v>
      </c>
    </row>
    <row r="6" spans="1:7" ht="48.05" customHeight="1" x14ac:dyDescent="0.3">
      <c r="A6" s="5">
        <v>2</v>
      </c>
      <c r="B6" s="5" t="str">
        <f>IFERROR(INDEX(DefectLog!$A$2:$A$60,MATCH(IFERROR(LARGE(DefectLog!$P$2:$P$60,2),""),DefectLog!$P$2:$P$60,0)),"")</f>
        <v>DEF-005</v>
      </c>
      <c r="C6" s="2" t="str">
        <f>IFERROR(INDEX(DefectLog!$B$2:$B$60,MATCH(IFERROR(LARGE(DefectLog!$P$2:$P$60,2),""),DefectLog!$P$2:$P$60,0)),"")</f>
        <v>Restricted user sees a raw 403 'Error loading settings' popup and an empty menu</v>
      </c>
      <c r="D6" s="2" t="str">
        <f>IFERROR(INDEX(DefectLog!$C$2:$C$60,MATCH(IFERROR(LARGE(DefectLog!$P$2:$P$60,2),""),DefectLog!$P$2:$P$60,0)),"")</f>
        <v>M1 Auth &amp; Users</v>
      </c>
      <c r="E6" s="5" t="str">
        <f>IFERROR(INDEX(DefectLog!$H$2:$H$60,MATCH(IFERROR(LARGE(DefectLog!$P$2:$P$60,2),""),DefectLog!$P$2:$P$60,0)),"")</f>
        <v>Minor</v>
      </c>
      <c r="F6" s="5" t="str">
        <f>IFERROR(INDEX(DefectLog!$I$2:$I$60,MATCH(IFERROR(LARGE(DefectLog!$P$2:$P$60,2),""),DefectLog!$P$2:$P$60,0)),"")</f>
        <v>Medium</v>
      </c>
      <c r="G6" s="2" t="str">
        <f>IFERROR(INDEX(DefectLog!$O$2:$O$60,MATCH(IFERROR(LARGE(DefectLog!$P$2:$P$60,2),""),DefectLog!$P$2:$P$60,0)),"")</f>
        <v>A user with limited permissions sees a raw error and an almost empty menu, with no explanation of what is missing.</v>
      </c>
    </row>
    <row r="7" spans="1:7" ht="48.05" customHeight="1" x14ac:dyDescent="0.3">
      <c r="A7" s="5">
        <v>3</v>
      </c>
      <c r="B7" s="5" t="str">
        <f>IFERROR(INDEX(DefectLog!$A$2:$A$60,MATCH(IFERROR(LARGE(DefectLog!$P$2:$P$60,3),""),DefectLog!$P$2:$P$60,0)),"")</f>
        <v>DEF-007</v>
      </c>
      <c r="C7" s="2" t="str">
        <f>IFERROR(INDEX(DefectLog!$B$2:$B$60,MATCH(IFERROR(LARGE(DefectLog!$P$2:$P$60,3),""),DefectLog!$P$2:$P$60,0)),"")</f>
        <v>Custom field filter with an empty value shows a raw error ('custom_field_query: undefined')</v>
      </c>
      <c r="D7" s="2" t="str">
        <f>IFERROR(INDEX(DefectLog!$C$2:$C$60,MATCH(IFERROR(LARGE(DefectLog!$P$2:$P$60,3),""),DefectLog!$P$2:$P$60,0)),"")</f>
        <v>M4 Search &amp; Saved Views</v>
      </c>
      <c r="E7" s="5" t="str">
        <f>IFERROR(INDEX(DefectLog!$H$2:$H$60,MATCH(IFERROR(LARGE(DefectLog!$P$2:$P$60,3),""),DefectLog!$P$2:$P$60,0)),"")</f>
        <v>Minor</v>
      </c>
      <c r="F7" s="5" t="str">
        <f>IFERROR(INDEX(DefectLog!$I$2:$I$60,MATCH(IFERROR(LARGE(DefectLog!$P$2:$P$60,3),""),DefectLog!$P$2:$P$60,0)),"")</f>
        <v>Medium</v>
      </c>
      <c r="G7" s="2" t="str">
        <f>IFERROR(INDEX(DefectLog!$O$2:$O$60,MATCH(IFERROR(LARGE(DefectLog!$P$2:$P$60,3),""),DefectLog!$P$2:$P$60,0)),"")</f>
        <v>An incomplete filter breaks the document list with an unreadable error until the filter is reset.</v>
      </c>
    </row>
    <row r="8" spans="1:7" ht="48.05" customHeight="1" x14ac:dyDescent="0.3">
      <c r="A8" s="5">
        <v>4</v>
      </c>
      <c r="B8" s="5" t="str">
        <f>IFERROR(INDEX(DefectLog!$A$2:$A$60,MATCH(IFERROR(LARGE(DefectLog!$P$2:$P$60,4),""),DefectLog!$P$2:$P$60,0)),"")</f>
        <v>DEF-002</v>
      </c>
      <c r="C8" s="2" t="str">
        <f>IFERROR(INDEX(DefectLog!$B$2:$B$60,MATCH(IFERROR(LARGE(DefectLog!$P$2:$P$60,4),""),DefectLog!$P$2:$P$60,0)),"")</f>
        <v>Select custom field with no options shows a raw API error instead of a clear message</v>
      </c>
      <c r="D8" s="2" t="str">
        <f>IFERROR(INDEX(DefectLog!$C$2:$C$60,MATCH(IFERROR(LARGE(DefectLog!$P$2:$P$60,4),""),DefectLog!$P$2:$P$60,0)),"")</f>
        <v>M3 Attributes</v>
      </c>
      <c r="E8" s="5" t="str">
        <f>IFERROR(INDEX(DefectLog!$H$2:$H$60,MATCH(IFERROR(LARGE(DefectLog!$P$2:$P$60,4),""),DefectLog!$P$2:$P$60,0)),"")</f>
        <v>Minor</v>
      </c>
      <c r="F8" s="5" t="str">
        <f>IFERROR(INDEX(DefectLog!$I$2:$I$60,MATCH(IFERROR(LARGE(DefectLog!$P$2:$P$60,4),""),DefectLog!$P$2:$P$60,0)),"")</f>
        <v>Low</v>
      </c>
      <c r="G8" s="2" t="str">
        <f>IFERROR(INDEX(DefectLog!$O$2:$O$60,MATCH(IFERROR(LARGE(DefectLog!$P$2:$P$60,4),""),DefectLog!$P$2:$P$60,0)),"")</f>
        <v>Users see internal API wording instead of a plain instruction to add an option, so the fix is hard to find.</v>
      </c>
    </row>
    <row r="9" spans="1:7" ht="48.05" customHeight="1" x14ac:dyDescent="0.3">
      <c r="A9" s="5">
        <v>5</v>
      </c>
      <c r="B9" s="5" t="str">
        <f>IFERROR(INDEX(DefectLog!$A$2:$A$60,MATCH(IFERROR(LARGE(DefectLog!$P$2:$P$60,5),""),DefectLog!$P$2:$P$60,0)),"")</f>
        <v>DEF-003</v>
      </c>
      <c r="C9" s="2" t="str">
        <f>IFERROR(INDEX(DefectLog!$B$2:$B$60,MATCH(IFERROR(LARGE(DefectLog!$P$2:$P$60,5),""),DefectLog!$P$2:$P$60,0)),"")</f>
        <v>Whitespace-only option label is accepted in a Select custom field</v>
      </c>
      <c r="D9" s="2" t="str">
        <f>IFERROR(INDEX(DefectLog!$C$2:$C$60,MATCH(IFERROR(LARGE(DefectLog!$P$2:$P$60,5),""),DefectLog!$P$2:$P$60,0)),"")</f>
        <v>M3 Attributes</v>
      </c>
      <c r="E9" s="5" t="str">
        <f>IFERROR(INDEX(DefectLog!$H$2:$H$60,MATCH(IFERROR(LARGE(DefectLog!$P$2:$P$60,5),""),DefectLog!$P$2:$P$60,0)),"")</f>
        <v>Minor</v>
      </c>
      <c r="F9" s="5" t="str">
        <f>IFERROR(INDEX(DefectLog!$I$2:$I$60,MATCH(IFERROR(LARGE(DefectLog!$P$2:$P$60,5),""),DefectLog!$P$2:$P$60,0)),"")</f>
        <v>Low</v>
      </c>
      <c r="G9" s="2" t="str">
        <f>IFERROR(INDEX(DefectLog!$O$2:$O$60,MATCH(IFERROR(LARGE(DefectLog!$P$2:$P$60,5),""),DefectLog!$P$2:$P$60,0)),"")</f>
        <v>A blank-looking option can be saved and shows up as an empty choice on documents, which confuses users picking a value.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Allocation</vt:lpstr>
      <vt:lpstr>Requirements_RTM</vt:lpstr>
      <vt:lpstr>TestCases</vt:lpstr>
      <vt:lpstr>DefectLog</vt:lpstr>
      <vt:lpstr>Defect_Summary</vt:lpstr>
      <vt:lpstr>Summary</vt:lpstr>
      <vt:lpstr>Top5_Defects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f243068 Azka Faisal</cp:lastModifiedBy>
  <cp:revision>4</cp:revision>
  <dcterms:created xsi:type="dcterms:W3CDTF">2026-10-10T13:43:00Z</dcterms:created>
  <dcterms:modified xsi:type="dcterms:W3CDTF">2026-10-12T16:16:45Z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94ECA8948E7549C69FD555C3BED32435_12</vt:lpwstr>
  </property>
  <property fmtid="{D5CDD505-2E9C-101B-9397-08002B2CF9AE}" pid="4" name="KSOProductBuildVer">
    <vt:lpwstr>1033-12.1.0.28485</vt:lpwstr>
  </property>
</Properties>
</file>